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krupongjungtraining.sharepoint.com/sites/KruPongJungWorawitWorking/Shared Documents/General/Training Documents/เก้าพันวา/2026/Malee/ไฟล์แบบฝึกหัดและเอกสารประกอบการอบรม/"/>
    </mc:Choice>
  </mc:AlternateContent>
  <xr:revisionPtr revIDLastSave="798" documentId="11_4C592ED636E3AB926B00D4CE61074701D25FAAFA" xr6:coauthVersionLast="47" xr6:coauthVersionMax="47" xr10:uidLastSave="{CA922E2B-43E5-419C-9CF2-5EF2678470AB}"/>
  <bookViews>
    <workbookView xWindow="-98" yWindow="-98" windowWidth="21795" windowHeight="12975" firstSheet="3" activeTab="5" xr2:uid="{00000000-000D-0000-FFFF-FFFF00000000}"/>
  </bookViews>
  <sheets>
    <sheet name="Overview" sheetId="3" r:id="rId1"/>
    <sheet name="Dashboard" sheetId="4" r:id="rId2"/>
    <sheet name="Q1_Forecast" sheetId="5" r:id="rId3"/>
    <sheet name="Q4_Forecast" sheetId="1" r:id="rId4"/>
    <sheet name="What_If_Scenarios" sheetId="2" r:id="rId5"/>
    <sheet name="Cash_Flow_Impac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G5" i="5"/>
  <c r="N5" i="5" s="1"/>
  <c r="G6" i="5"/>
  <c r="N6" i="5" s="1"/>
  <c r="G7" i="5"/>
  <c r="N7" i="5" s="1"/>
  <c r="G8" i="5"/>
  <c r="N8" i="5" s="1"/>
  <c r="G9" i="5"/>
  <c r="N9" i="5" s="1"/>
  <c r="G10" i="5"/>
  <c r="G11" i="5"/>
  <c r="G12" i="5"/>
  <c r="N12" i="5" s="1"/>
  <c r="G13" i="5"/>
  <c r="G14" i="5"/>
  <c r="G15" i="5"/>
  <c r="N15" i="5" s="1"/>
  <c r="G16" i="5"/>
  <c r="N16" i="5" s="1"/>
  <c r="G17" i="5"/>
  <c r="G18" i="5"/>
  <c r="G19" i="5"/>
  <c r="G20" i="5"/>
  <c r="G21" i="5"/>
  <c r="G22" i="5"/>
  <c r="N22" i="5" s="1"/>
  <c r="G23" i="5"/>
  <c r="N23" i="5" s="1"/>
  <c r="G24" i="5"/>
  <c r="N24" i="5" s="1"/>
  <c r="G25" i="5"/>
  <c r="N25" i="5" s="1"/>
  <c r="G26" i="5"/>
  <c r="N26" i="5" s="1"/>
  <c r="G27" i="5"/>
  <c r="G28" i="5"/>
  <c r="N28" i="5" s="1"/>
  <c r="G29" i="5"/>
  <c r="N29" i="5" s="1"/>
  <c r="G30" i="5"/>
  <c r="N30" i="5" s="1"/>
  <c r="G31" i="5"/>
  <c r="N31" i="5" s="1"/>
  <c r="G32" i="5"/>
  <c r="G33" i="5"/>
  <c r="G34" i="5"/>
  <c r="N34" i="5" s="1"/>
  <c r="G35" i="5"/>
  <c r="G36" i="5"/>
  <c r="G37" i="5"/>
  <c r="N37" i="5" s="1"/>
  <c r="G38" i="5"/>
  <c r="N38" i="5" s="1"/>
  <c r="G39" i="5"/>
  <c r="G40" i="5"/>
  <c r="G41" i="5"/>
  <c r="G42" i="5"/>
  <c r="G43" i="5"/>
  <c r="N43" i="5" s="1"/>
  <c r="G44" i="5"/>
  <c r="N44" i="5" s="1"/>
  <c r="G45" i="5"/>
  <c r="N45" i="5" s="1"/>
  <c r="G46" i="5"/>
  <c r="N46" i="5" s="1"/>
  <c r="G47" i="5"/>
  <c r="N47" i="5" s="1"/>
  <c r="G48" i="5"/>
  <c r="N48" i="5" s="1"/>
  <c r="G49" i="5"/>
  <c r="N49" i="5" s="1"/>
  <c r="F5" i="5"/>
  <c r="J5" i="5" s="1"/>
  <c r="M5" i="5" s="1"/>
  <c r="F6" i="5"/>
  <c r="J6" i="5" s="1"/>
  <c r="M6" i="5" s="1"/>
  <c r="F7" i="5"/>
  <c r="J7" i="5" s="1"/>
  <c r="M7" i="5" s="1"/>
  <c r="F8" i="5"/>
  <c r="J8" i="5" s="1"/>
  <c r="F9" i="5"/>
  <c r="F10" i="5"/>
  <c r="F11" i="5"/>
  <c r="F12" i="5"/>
  <c r="F13" i="5"/>
  <c r="F14" i="5"/>
  <c r="J14" i="5" s="1"/>
  <c r="F15" i="5"/>
  <c r="J15" i="5" s="1"/>
  <c r="F16" i="5"/>
  <c r="F17" i="5"/>
  <c r="F18" i="5"/>
  <c r="F19" i="5"/>
  <c r="F20" i="5"/>
  <c r="F21" i="5"/>
  <c r="J21" i="5" s="1"/>
  <c r="K21" i="5" s="1"/>
  <c r="L21" i="5" s="1"/>
  <c r="F22" i="5"/>
  <c r="J22" i="5" s="1"/>
  <c r="M22" i="5" s="1"/>
  <c r="F23" i="5"/>
  <c r="J23" i="5" s="1"/>
  <c r="F24" i="5"/>
  <c r="J24" i="5" s="1"/>
  <c r="M24" i="5" s="1"/>
  <c r="F25" i="5"/>
  <c r="J25" i="5" s="1"/>
  <c r="M25" i="5" s="1"/>
  <c r="F26" i="5"/>
  <c r="J26" i="5" s="1"/>
  <c r="M26" i="5" s="1"/>
  <c r="F27" i="5"/>
  <c r="J27" i="5" s="1"/>
  <c r="M27" i="5" s="1"/>
  <c r="F28" i="5"/>
  <c r="J28" i="5" s="1"/>
  <c r="M28" i="5" s="1"/>
  <c r="F29" i="5"/>
  <c r="J29" i="5" s="1"/>
  <c r="M29" i="5" s="1"/>
  <c r="F30" i="5"/>
  <c r="J30" i="5" s="1"/>
  <c r="F31" i="5"/>
  <c r="F32" i="5"/>
  <c r="F33" i="5"/>
  <c r="F34" i="5"/>
  <c r="F35" i="5"/>
  <c r="F36" i="5"/>
  <c r="J36" i="5" s="1"/>
  <c r="F37" i="5"/>
  <c r="J37" i="5" s="1"/>
  <c r="F38" i="5"/>
  <c r="J38" i="5" s="1"/>
  <c r="F39" i="5"/>
  <c r="F40" i="5"/>
  <c r="F41" i="5"/>
  <c r="F42" i="5"/>
  <c r="F43" i="5"/>
  <c r="J43" i="5" s="1"/>
  <c r="M43" i="5" s="1"/>
  <c r="F44" i="5"/>
  <c r="J44" i="5" s="1"/>
  <c r="M44" i="5" s="1"/>
  <c r="F45" i="5"/>
  <c r="J45" i="5" s="1"/>
  <c r="M45" i="5" s="1"/>
  <c r="F46" i="5"/>
  <c r="J46" i="5" s="1"/>
  <c r="M46" i="5" s="1"/>
  <c r="F47" i="5"/>
  <c r="J47" i="5" s="1"/>
  <c r="M47" i="5" s="1"/>
  <c r="F48" i="5"/>
  <c r="J48" i="5" s="1"/>
  <c r="M48" i="5" s="1"/>
  <c r="F49" i="5"/>
  <c r="J49" i="5" s="1"/>
  <c r="M49" i="5" s="1"/>
  <c r="E19" i="5"/>
  <c r="E23" i="5"/>
  <c r="B23" i="6" s="1"/>
  <c r="E41" i="5"/>
  <c r="B25" i="6" s="1"/>
  <c r="E25" i="6" s="1"/>
  <c r="E45" i="5"/>
  <c r="D5" i="5"/>
  <c r="E5" i="5" s="1"/>
  <c r="B21" i="6" s="1"/>
  <c r="D6" i="5"/>
  <c r="E6" i="5" s="1"/>
  <c r="D7" i="5"/>
  <c r="E7" i="5" s="1"/>
  <c r="D8" i="5"/>
  <c r="E8" i="5" s="1"/>
  <c r="D9" i="5"/>
  <c r="E9" i="5" s="1"/>
  <c r="D10" i="5"/>
  <c r="E10" i="5" s="1"/>
  <c r="D11" i="5"/>
  <c r="E11" i="5" s="1"/>
  <c r="D12" i="5"/>
  <c r="E12" i="5" s="1"/>
  <c r="D13" i="5"/>
  <c r="E13" i="5" s="1"/>
  <c r="D14" i="5"/>
  <c r="E14" i="5" s="1"/>
  <c r="K14" i="5" s="1"/>
  <c r="L14" i="5" s="1"/>
  <c r="D15" i="5"/>
  <c r="E15" i="5" s="1"/>
  <c r="K15" i="5" s="1"/>
  <c r="L15" i="5" s="1"/>
  <c r="D16" i="5"/>
  <c r="E16" i="5" s="1"/>
  <c r="D17" i="5"/>
  <c r="E17" i="5" s="1"/>
  <c r="D18" i="5"/>
  <c r="E18" i="5" s="1"/>
  <c r="D19" i="5"/>
  <c r="D20" i="5"/>
  <c r="E20" i="5" s="1"/>
  <c r="D21" i="5"/>
  <c r="E21" i="5" s="1"/>
  <c r="D22" i="5"/>
  <c r="E22" i="5" s="1"/>
  <c r="D23" i="5"/>
  <c r="D24" i="5"/>
  <c r="E24" i="5" s="1"/>
  <c r="D25" i="5"/>
  <c r="E25" i="5" s="1"/>
  <c r="D26" i="5"/>
  <c r="E26" i="5" s="1"/>
  <c r="D27" i="5"/>
  <c r="E27" i="5" s="1"/>
  <c r="D28" i="5"/>
  <c r="E28" i="5" s="1"/>
  <c r="D29" i="5"/>
  <c r="E29" i="5" s="1"/>
  <c r="D30" i="5"/>
  <c r="E30" i="5" s="1"/>
  <c r="D31" i="5"/>
  <c r="E31" i="5" s="1"/>
  <c r="D32" i="5"/>
  <c r="E32" i="5" s="1"/>
  <c r="D33" i="5"/>
  <c r="E33" i="5" s="1"/>
  <c r="D34" i="5"/>
  <c r="E34" i="5" s="1"/>
  <c r="D35" i="5"/>
  <c r="E35" i="5" s="1"/>
  <c r="D36" i="5"/>
  <c r="E36" i="5" s="1"/>
  <c r="K36" i="5" s="1"/>
  <c r="L36" i="5" s="1"/>
  <c r="D37" i="5"/>
  <c r="E37" i="5" s="1"/>
  <c r="D38" i="5"/>
  <c r="E38" i="5" s="1"/>
  <c r="D39" i="5"/>
  <c r="E39" i="5" s="1"/>
  <c r="D40" i="5"/>
  <c r="E40" i="5" s="1"/>
  <c r="D41" i="5"/>
  <c r="D42" i="5"/>
  <c r="E42" i="5" s="1"/>
  <c r="D43" i="5"/>
  <c r="E43" i="5" s="1"/>
  <c r="D44" i="5"/>
  <c r="E44" i="5" s="1"/>
  <c r="D45" i="5"/>
  <c r="D46" i="5"/>
  <c r="E46" i="5" s="1"/>
  <c r="D47" i="5"/>
  <c r="E47" i="5" s="1"/>
  <c r="D48" i="5"/>
  <c r="E48" i="5" s="1"/>
  <c r="D49" i="5"/>
  <c r="E49" i="5" s="1"/>
  <c r="B39" i="4"/>
  <c r="B40" i="4"/>
  <c r="B41" i="4"/>
  <c r="B42" i="4"/>
  <c r="B15" i="6" l="1"/>
  <c r="B16" i="6"/>
  <c r="B24" i="6"/>
  <c r="M23" i="5"/>
  <c r="K33" i="5"/>
  <c r="L33" i="5" s="1"/>
  <c r="B14" i="6"/>
  <c r="N27" i="5"/>
  <c r="K10" i="5"/>
  <c r="L10" i="5" s="1"/>
  <c r="K17" i="5"/>
  <c r="L17" i="5" s="1"/>
  <c r="K34" i="5"/>
  <c r="L34" i="5" s="1"/>
  <c r="K8" i="5"/>
  <c r="L8" i="5" s="1"/>
  <c r="K39" i="5"/>
  <c r="L39" i="5" s="1"/>
  <c r="J39" i="5"/>
  <c r="M39" i="5" s="1"/>
  <c r="J17" i="5"/>
  <c r="M17" i="5" s="1"/>
  <c r="J40" i="5"/>
  <c r="J18" i="5"/>
  <c r="J41" i="5"/>
  <c r="J19" i="5"/>
  <c r="K19" i="5" s="1"/>
  <c r="L19" i="5" s="1"/>
  <c r="N42" i="5"/>
  <c r="J20" i="5"/>
  <c r="M20" i="5" s="1"/>
  <c r="M38" i="5"/>
  <c r="J16" i="5"/>
  <c r="M16" i="5" s="1"/>
  <c r="N39" i="5"/>
  <c r="N17" i="5"/>
  <c r="K45" i="5"/>
  <c r="L45" i="5" s="1"/>
  <c r="C14" i="6"/>
  <c r="J35" i="5"/>
  <c r="K35" i="5" s="1"/>
  <c r="L35" i="5" s="1"/>
  <c r="J13" i="5"/>
  <c r="K13" i="5" s="1"/>
  <c r="L13" i="5" s="1"/>
  <c r="N36" i="5"/>
  <c r="N14" i="5"/>
  <c r="K30" i="5"/>
  <c r="L30" i="5" s="1"/>
  <c r="M37" i="5"/>
  <c r="J34" i="5"/>
  <c r="J12" i="5"/>
  <c r="N35" i="5"/>
  <c r="N13" i="5"/>
  <c r="B22" i="6"/>
  <c r="E22" i="6" s="1"/>
  <c r="K12" i="5"/>
  <c r="L12" i="5" s="1"/>
  <c r="J10" i="5"/>
  <c r="M10" i="5" s="1"/>
  <c r="N11" i="5"/>
  <c r="J33" i="5"/>
  <c r="M33" i="5" s="1"/>
  <c r="J11" i="5"/>
  <c r="K11" i="5" s="1"/>
  <c r="L11" i="5" s="1"/>
  <c r="K23" i="5"/>
  <c r="L23" i="5" s="1"/>
  <c r="J32" i="5"/>
  <c r="N33" i="5"/>
  <c r="J31" i="5"/>
  <c r="M31" i="5" s="1"/>
  <c r="J9" i="5"/>
  <c r="C15" i="6" s="1"/>
  <c r="N32" i="5"/>
  <c r="N10" i="5"/>
  <c r="E21" i="6"/>
  <c r="E24" i="6"/>
  <c r="E23" i="6"/>
  <c r="K49" i="5"/>
  <c r="L49" i="5" s="1"/>
  <c r="M15" i="5"/>
  <c r="K29" i="5"/>
  <c r="L29" i="5" s="1"/>
  <c r="K6" i="5"/>
  <c r="L6" i="5" s="1"/>
  <c r="K5" i="5"/>
  <c r="K40" i="5"/>
  <c r="L40" i="5" s="1"/>
  <c r="M40" i="5"/>
  <c r="M41" i="5"/>
  <c r="K41" i="5"/>
  <c r="L41" i="5" s="1"/>
  <c r="K26" i="5"/>
  <c r="L26" i="5" s="1"/>
  <c r="K47" i="5"/>
  <c r="L47" i="5" s="1"/>
  <c r="K24" i="5"/>
  <c r="L24" i="5" s="1"/>
  <c r="M36" i="5"/>
  <c r="M35" i="5"/>
  <c r="K44" i="5"/>
  <c r="L44" i="5" s="1"/>
  <c r="M34" i="5"/>
  <c r="M12" i="5"/>
  <c r="K37" i="5"/>
  <c r="L37" i="5" s="1"/>
  <c r="K20" i="5"/>
  <c r="L20" i="5" s="1"/>
  <c r="K28" i="5"/>
  <c r="L28" i="5" s="1"/>
  <c r="M19" i="5"/>
  <c r="K46" i="5"/>
  <c r="L46" i="5" s="1"/>
  <c r="K7" i="5"/>
  <c r="L7" i="5" s="1"/>
  <c r="K27" i="5"/>
  <c r="L27" i="5" s="1"/>
  <c r="K18" i="5"/>
  <c r="L18" i="5" s="1"/>
  <c r="M18" i="5"/>
  <c r="K48" i="5"/>
  <c r="L48" i="5" s="1"/>
  <c r="K25" i="5"/>
  <c r="L25" i="5" s="1"/>
  <c r="M14" i="5"/>
  <c r="K22" i="5"/>
  <c r="L22" i="5" s="1"/>
  <c r="K38" i="5"/>
  <c r="L38" i="5" s="1"/>
  <c r="M30" i="5"/>
  <c r="M8" i="5"/>
  <c r="K43" i="5"/>
  <c r="L43" i="5" s="1"/>
  <c r="N41" i="5"/>
  <c r="N19" i="5"/>
  <c r="M21" i="5"/>
  <c r="N40" i="5"/>
  <c r="N18" i="5"/>
  <c r="N20" i="5"/>
  <c r="J42" i="5"/>
  <c r="M42" i="5" s="1"/>
  <c r="B16" i="4"/>
  <c r="B14" i="4"/>
  <c r="H17" i="4"/>
  <c r="C42" i="4"/>
  <c r="D42" i="4" s="1"/>
  <c r="H16" i="4"/>
  <c r="H18" i="4"/>
  <c r="B15" i="4"/>
  <c r="C41" i="4"/>
  <c r="D41" i="4" s="1"/>
  <c r="B43" i="4"/>
  <c r="F42" i="4"/>
  <c r="C39" i="4"/>
  <c r="C40" i="4"/>
  <c r="H15" i="4"/>
  <c r="H14" i="4"/>
  <c r="A5" i="4"/>
  <c r="D14" i="6" l="1"/>
  <c r="M13" i="5"/>
  <c r="C23" i="6"/>
  <c r="D23" i="6" s="1"/>
  <c r="E16" i="6"/>
  <c r="K9" i="5"/>
  <c r="L9" i="5" s="1"/>
  <c r="C24" i="6"/>
  <c r="D24" i="6" s="1"/>
  <c r="K32" i="5"/>
  <c r="L32" i="5" s="1"/>
  <c r="L5" i="5"/>
  <c r="M32" i="5"/>
  <c r="C21" i="6"/>
  <c r="D21" i="6" s="1"/>
  <c r="K31" i="5"/>
  <c r="L31" i="5" s="1"/>
  <c r="C9" i="6"/>
  <c r="M9" i="5"/>
  <c r="C16" i="6"/>
  <c r="F16" i="6" s="1"/>
  <c r="D15" i="6"/>
  <c r="K42" i="5"/>
  <c r="L42" i="5" s="1"/>
  <c r="E14" i="6"/>
  <c r="F14" i="6" s="1"/>
  <c r="G14" i="6" s="1"/>
  <c r="H14" i="6" s="1"/>
  <c r="M11" i="5"/>
  <c r="E15" i="6"/>
  <c r="F15" i="6" s="1"/>
  <c r="K16" i="5"/>
  <c r="L16" i="5" s="1"/>
  <c r="C25" i="6"/>
  <c r="F23" i="6"/>
  <c r="G23" i="6" s="1"/>
  <c r="H23" i="6" s="1"/>
  <c r="C22" i="6"/>
  <c r="D22" i="6" s="1"/>
  <c r="I16" i="4"/>
  <c r="J16" i="4" s="1"/>
  <c r="F41" i="4"/>
  <c r="I18" i="4"/>
  <c r="J18" i="4" s="1"/>
  <c r="C15" i="4"/>
  <c r="D15" i="4" s="1"/>
  <c r="E15" i="4" s="1"/>
  <c r="D5" i="4"/>
  <c r="C14" i="4"/>
  <c r="D14" i="4" s="1"/>
  <c r="E14" i="4" s="1"/>
  <c r="F40" i="4"/>
  <c r="D40" i="4"/>
  <c r="C16" i="4"/>
  <c r="D16" i="4" s="1"/>
  <c r="E16" i="4" s="1"/>
  <c r="C43" i="4"/>
  <c r="F39" i="4"/>
  <c r="D39" i="4"/>
  <c r="I15" i="4"/>
  <c r="J15" i="4" s="1"/>
  <c r="I17" i="4"/>
  <c r="J17" i="4" s="1"/>
  <c r="I14" i="4"/>
  <c r="J14" i="4" s="1"/>
  <c r="G16" i="6" l="1"/>
  <c r="H16" i="6" s="1"/>
  <c r="F21" i="6"/>
  <c r="G21" i="6" s="1"/>
  <c r="H21" i="6" s="1"/>
  <c r="F24" i="6"/>
  <c r="G24" i="6" s="1"/>
  <c r="H24" i="6" s="1"/>
  <c r="D16" i="6"/>
  <c r="A9" i="6"/>
  <c r="E9" i="6" s="1"/>
  <c r="F25" i="6"/>
  <c r="D25" i="6"/>
  <c r="G25" i="6" s="1"/>
  <c r="H25" i="6" s="1"/>
  <c r="F22" i="6"/>
  <c r="G22" i="6" s="1"/>
  <c r="H22" i="6" s="1"/>
  <c r="G15" i="6"/>
  <c r="H15" i="6" s="1"/>
  <c r="D43" i="4"/>
  <c r="F43" i="4"/>
  <c r="G5" i="4"/>
  <c r="G9" i="6" l="1"/>
  <c r="A29" i="6"/>
  <c r="A8" i="4"/>
  <c r="J5" i="4"/>
</calcChain>
</file>

<file path=xl/sharedStrings.xml><?xml version="1.0" encoding="utf-8"?>
<sst xmlns="http://schemas.openxmlformats.org/spreadsheetml/2006/main" count="447" uniqueCount="112">
  <si>
    <t>Category</t>
  </si>
  <si>
    <t>Region</t>
  </si>
  <si>
    <t>Month</t>
  </si>
  <si>
    <t>Projected Revenue</t>
  </si>
  <si>
    <t>Projected Expenses</t>
  </si>
  <si>
    <t>Supply Chain Cost</t>
  </si>
  <si>
    <t>Marketing Cost</t>
  </si>
  <si>
    <t>Labor Cost</t>
  </si>
  <si>
    <t>Profit Margin</t>
  </si>
  <si>
    <t>Risk Factor</t>
  </si>
  <si>
    <t>Beverages</t>
  </si>
  <si>
    <t>North America</t>
  </si>
  <si>
    <t>October</t>
  </si>
  <si>
    <t>Demand Variability</t>
  </si>
  <si>
    <t>November</t>
  </si>
  <si>
    <t>Market Shift</t>
  </si>
  <si>
    <t>December</t>
  </si>
  <si>
    <t>Europe</t>
  </si>
  <si>
    <t>Supply Chain Fluctuation</t>
  </si>
  <si>
    <t>Asia</t>
  </si>
  <si>
    <t>Stable</t>
  </si>
  <si>
    <t>Snacks</t>
  </si>
  <si>
    <t>Condiments</t>
  </si>
  <si>
    <t>Dairy</t>
  </si>
  <si>
    <t>Produce</t>
  </si>
  <si>
    <t>Scenario</t>
  </si>
  <si>
    <t>% Change</t>
  </si>
  <si>
    <t>Increase Supply Chain Cost</t>
  </si>
  <si>
    <t>Decrease Demand</t>
  </si>
  <si>
    <t>Increase Marketing Spend</t>
  </si>
  <si>
    <t>Labor Cost Surge</t>
  </si>
  <si>
    <t>Q4 2026 FORECAST INPUTS</t>
  </si>
  <si>
    <t>45 category-region-month records used as the baseline for the Q1 2027 scenario forecast</t>
  </si>
  <si>
    <t>WHAT-IF SCENARIO INPUTS</t>
  </si>
  <si>
    <t>Q1 2027 SCENARIO-ADJUSTED FORECAST</t>
  </si>
  <si>
    <t>Monthly Q4 averages by category and region, adjusted for demand, supply-chain, marketing, and labor scenarios</t>
  </si>
  <si>
    <t>Base Revenue</t>
  </si>
  <si>
    <t>Forecast Revenue</t>
  </si>
  <si>
    <t>Base Other Expenses</t>
  </si>
  <si>
    <t>Forecast Supply Chain</t>
  </si>
  <si>
    <t>Forecast Marketing</t>
  </si>
  <si>
    <t>Forecast Labor</t>
  </si>
  <si>
    <t>Total Expenses</t>
  </si>
  <si>
    <t>Net Income</t>
  </si>
  <si>
    <t>Net Margin</t>
  </si>
  <si>
    <t>Overspend Flag</t>
  </si>
  <si>
    <t>Savings Opportunity</t>
  </si>
  <si>
    <t>January</t>
  </si>
  <si>
    <t>February</t>
  </si>
  <si>
    <t>March</t>
  </si>
  <si>
    <t>Q1 2027 FINANCIAL OUTLOOK</t>
  </si>
  <si>
    <t>Scenario-adjusted outlook using Q4 monthly averages and all four What-If assumptions</t>
  </si>
  <si>
    <t>FORECAST REVENUE</t>
  </si>
  <si>
    <t>TOTAL EXPENSES</t>
  </si>
  <si>
    <t>NET INCOME</t>
  </si>
  <si>
    <t>NET MARGIN</t>
  </si>
  <si>
    <t>REGIONAL OUTLOOK</t>
  </si>
  <si>
    <t>CATEGORY PERFORMANCE</t>
  </si>
  <si>
    <t>Revenue</t>
  </si>
  <si>
    <t>Expenses</t>
  </si>
  <si>
    <t>COST-SAVING OPPORTUNITIES</t>
  </si>
  <si>
    <t>RECOMMENDED ACTIONS</t>
  </si>
  <si>
    <t>Cost Area</t>
  </si>
  <si>
    <t>Baseline Q1</t>
  </si>
  <si>
    <t>Scenario Q1</t>
  </si>
  <si>
    <t>Incremental Cost</t>
  </si>
  <si>
    <t>Target Saving %</t>
  </si>
  <si>
    <t>Savings Potential</t>
  </si>
  <si>
    <t>Other Expenses</t>
  </si>
  <si>
    <t>Supply Chain</t>
  </si>
  <si>
    <t>Marketing</t>
  </si>
  <si>
    <t>Labor</t>
  </si>
  <si>
    <t>TOTAL</t>
  </si>
  <si>
    <t>Actions aligned to the editable saving targets</t>
  </si>
  <si>
    <t>Review non-operating spend, remove low-value subscriptions, and tighten approval thresholds.</t>
  </si>
  <si>
    <t>Renegotiate supplier terms, consolidate shipments, and prioritize lower-cost routes.</t>
  </si>
  <si>
    <t>Shift budget toward measurable high-ROI channels and pause underperforming campaigns.</t>
  </si>
  <si>
    <t>Reduce overtime through scheduling changes, cross-training, and workload balancing.</t>
  </si>
  <si>
    <t>Edit Target Saving % in the adjacent table; savings potential recalculates automatically.</t>
  </si>
  <si>
    <t>Q1 2027 FORECAST WORKBOOK</t>
  </si>
  <si>
    <t>Scenario-adjusted financial outlook, overspending diagnostics, and cost-saving plan</t>
  </si>
  <si>
    <t>CONTENTS</t>
  </si>
  <si>
    <t>Dashboard</t>
  </si>
  <si>
    <t>Executive KPIs, regional and category comparisons, charts, and cost-saving opportunities.</t>
  </si>
  <si>
    <t>Q1_Forecast</t>
  </si>
  <si>
    <t>45 live forecast rows covering five categories, three regions, and January through March.</t>
  </si>
  <si>
    <t>Q4_Forecast</t>
  </si>
  <si>
    <t>Q4 2026 baseline inputs used to calculate category-region monthly averages.</t>
  </si>
  <si>
    <t>What_If_Scenarios</t>
  </si>
  <si>
    <t>Editable demand and cost assumptions that flow through the forecast and dashboard.</t>
  </si>
  <si>
    <t>FORECAST BASIS</t>
  </si>
  <si>
    <t>Q1 2027 uses each category-region's Q4 monthly average. Revenue is adjusted by the demand scenario; supply-chain, marketing, and labor costs use their respective scenario changes. Total expenses include Projected Expenses plus all three operating cost fields.</t>
  </si>
  <si>
    <t>Editable percentage changes applied to Q4 monthly averages; type entries as percentages such as -15%.</t>
  </si>
  <si>
    <t>10% SALES DROP CASH FLOW IMPACT</t>
  </si>
  <si>
    <t>Scenario compares current Q1 forecast against a 10% sales drop, holding forecast expenses constant as an operating cash-flow proxy.</t>
  </si>
  <si>
    <t>SCENARIO ASSUMPTION</t>
  </si>
  <si>
    <t>Sales Drop %</t>
  </si>
  <si>
    <t>Cash Flow Proxy</t>
  </si>
  <si>
    <t>Forecast revenue minus total expenses</t>
  </si>
  <si>
    <t>Current Cash Flow</t>
  </si>
  <si>
    <t>10% Drop Cash Flow</t>
  </si>
  <si>
    <t>Impact</t>
  </si>
  <si>
    <t>Impact %</t>
  </si>
  <si>
    <t>CASH FLOW IMPACT BY REGION</t>
  </si>
  <si>
    <t>Current Sales</t>
  </si>
  <si>
    <t>Current Expenses</t>
  </si>
  <si>
    <t>10% Drop Sales</t>
  </si>
  <si>
    <t>Cash Flow Impact</t>
  </si>
  <si>
    <t>CASH FLOW IMPACT BY CATEGORY</t>
  </si>
  <si>
    <t>KEY TAKEAWAY</t>
  </si>
  <si>
    <t>Cash_Flow_Impact</t>
  </si>
  <si>
    <t>10% sales-drop what-if scenario with cash-flow impact by region and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</si>
</sst>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2F75B5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22"/>
      <color rgb="FF17365D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8"/>
      <color rgb="FFFFFFFF"/>
      <name val="Aptos"/>
    </font>
    <font>
      <i/>
      <sz val="11"/>
      <color rgb="FF666666"/>
      <name val="Aptos"/>
    </font>
    <font>
      <sz val="11"/>
      <color theme="1"/>
      <name val="Aptos"/>
    </font>
    <font>
      <b/>
      <sz val="11"/>
      <color rgb="FFFFFFFF"/>
      <name val="Aptos"/>
    </font>
    <font>
      <b/>
      <sz val="11"/>
      <color theme="1"/>
      <name val="Aptos"/>
    </font>
    <font>
      <b/>
      <sz val="16"/>
      <color theme="1"/>
      <name val="Aptos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wrapText="1"/>
    </xf>
    <xf numFmtId="0" fontId="5" fillId="3" borderId="0" xfId="0" applyFont="1" applyFill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1" fillId="5" borderId="0" xfId="0" applyFont="1" applyFill="1" applyAlignment="1">
      <alignment wrapText="1"/>
    </xf>
    <xf numFmtId="0" fontId="0" fillId="0" borderId="0" xfId="0" applyFill="1" applyBorder="1" applyAlignment="1">
      <alignment wrapText="1"/>
    </xf>
    <xf numFmtId="0" fontId="2" fillId="4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164" fontId="10" fillId="4" borderId="0" xfId="0" applyNumberFormat="1" applyFont="1" applyFill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164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7" fillId="3" borderId="0" xfId="0" applyFont="1" applyFill="1" applyAlignment="1">
      <alignment vertical="center" wrapText="1"/>
    </xf>
    <xf numFmtId="0" fontId="16" fillId="4" borderId="0" xfId="0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center" vertical="center"/>
    </xf>
    <xf numFmtId="0" fontId="15" fillId="7" borderId="0" xfId="0" applyFont="1" applyFill="1" applyAlignment="1">
      <alignment vertical="center"/>
    </xf>
    <xf numFmtId="0" fontId="14" fillId="0" borderId="0" xfId="0" applyFont="1" applyAlignment="1">
      <alignment vertical="center" wrapText="1"/>
    </xf>
    <xf numFmtId="0" fontId="15" fillId="6" borderId="0" xfId="0" applyFont="1" applyFill="1" applyAlignment="1">
      <alignment vertical="center"/>
    </xf>
    <xf numFmtId="0" fontId="14" fillId="0" borderId="0" xfId="0" applyFont="1" applyAlignment="1">
      <alignment horizontal="right" vertical="center"/>
    </xf>
    <xf numFmtId="165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164" fontId="17" fillId="4" borderId="0" xfId="0" applyNumberFormat="1" applyFont="1" applyFill="1" applyAlignment="1">
      <alignment horizontal="right" vertical="center"/>
    </xf>
    <xf numFmtId="165" fontId="17" fillId="4" borderId="0" xfId="0" applyNumberFormat="1" applyFont="1" applyFill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4" fontId="14" fillId="8" borderId="0" xfId="0" applyNumberFormat="1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165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6" fillId="0" borderId="0" xfId="0" applyFont="1" applyAlignment="1">
      <alignment horizontal="right" vertical="center"/>
    </xf>
  </cellXfs>
  <cellStyles count="1">
    <cellStyle name="Normal" xfId="0" builtinId="0"/>
  </cellStyles>
  <dxfs count="67">
    <dxf>
      <font>
        <b/>
        <name val="Aptos"/>
      </font>
      <alignment vertical="center"/>
    </dxf>
    <dxf>
      <font>
        <b/>
        <name val="Aptos"/>
      </font>
      <alignment vertical="center"/>
    </dxf>
    <dxf>
      <font>
        <name val="Aptos"/>
      </font>
      <alignment horizontal="left" vertical="center"/>
    </dxf>
    <dxf>
      <font>
        <name val="Aptos"/>
      </font>
      <alignment horizontal="left" vertical="center"/>
    </dxf>
    <dxf>
      <font>
        <name val="Aptos"/>
      </font>
      <numFmt numFmtId="165" formatCode="0.0%"/>
      <alignment horizontal="right" vertical="center"/>
    </dxf>
    <dxf>
      <font>
        <name val="Aptos"/>
      </font>
      <numFmt numFmtId="164" formatCode="&quot;$&quot;#,##0"/>
      <fill>
        <patternFill patternType="solid">
          <fgColor indexed="64"/>
          <bgColor rgb="FFFCE4D6"/>
        </patternFill>
      </fill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5" formatCode="0.0%"/>
      <alignment horizontal="right" vertical="center"/>
    </dxf>
    <dxf>
      <font>
        <name val="Aptos"/>
      </font>
      <numFmt numFmtId="164" formatCode="&quot;$&quot;#,##0"/>
      <fill>
        <patternFill patternType="solid">
          <fgColor indexed="64"/>
          <bgColor rgb="FFFCE4D6"/>
        </patternFill>
      </fill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numFmt numFmtId="164" formatCode="&quot;$&quot;#,##0"/>
      <alignment horizontal="right" vertical="center"/>
    </dxf>
    <dxf>
      <font>
        <name val="Aptos"/>
      </font>
      <alignment vertical="center"/>
    </dxf>
    <dxf>
      <font>
        <name val="Aptos"/>
      </font>
      <alignment vertical="center"/>
    </dxf>
    <dxf>
      <alignment wrapText="1"/>
    </dxf>
    <dxf>
      <numFmt numFmtId="164" formatCode="&quot;$&quot;#,##0"/>
    </dxf>
    <dxf>
      <numFmt numFmtId="165" formatCode="0.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5" formatCode="0.0%"/>
    </dxf>
    <dxf>
      <numFmt numFmtId="164" formatCode="&quot;$&quot;#,##0"/>
    </dxf>
    <dxf>
      <numFmt numFmtId="164" formatCode="&quot;$&quot;#,##0"/>
    </dxf>
    <dxf>
      <numFmt numFmtId="165" formatCode="0.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5" formatCode="0.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5" formatCode="0.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5" formatCode="0.0%"/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 Revenue vs Total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Dashboard!$G$14:$G$18</c:f>
              <c:strCache>
                <c:ptCount val="5"/>
                <c:pt idx="0">
                  <c:v>Beverages</c:v>
                </c:pt>
                <c:pt idx="1">
                  <c:v>Snacks</c:v>
                </c:pt>
                <c:pt idx="2">
                  <c:v>Condiments</c:v>
                </c:pt>
                <c:pt idx="3">
                  <c:v>Dairy</c:v>
                </c:pt>
                <c:pt idx="4">
                  <c:v>Produce</c:v>
                </c:pt>
              </c:strCache>
            </c:strRef>
          </c:cat>
          <c:val>
            <c:numRef>
              <c:f>Dashboard!$H$14:$H$18</c:f>
              <c:numCache>
                <c:formatCode>"$"#,##0</c:formatCode>
                <c:ptCount val="5"/>
                <c:pt idx="0">
                  <c:v>691413.8</c:v>
                </c:pt>
                <c:pt idx="1">
                  <c:v>568848.04999999993</c:v>
                </c:pt>
                <c:pt idx="2">
                  <c:v>619321.89999999991</c:v>
                </c:pt>
                <c:pt idx="3">
                  <c:v>592111.70000000007</c:v>
                </c:pt>
                <c:pt idx="4">
                  <c:v>625288.89999999991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6-4A26-93AF-229684A48924}"/>
            </c:ext>
          </c:extLst>
        </c:ser>
        <c:ser>
          <c:idx val="1"/>
          <c:order val="1"/>
          <c:tx>
            <c:strRef>
              <c:f>Dashboard!$I$13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Dashboard!$G$14:$G$18</c:f>
              <c:strCache>
                <c:ptCount val="5"/>
                <c:pt idx="0">
                  <c:v>Beverages</c:v>
                </c:pt>
                <c:pt idx="1">
                  <c:v>Snacks</c:v>
                </c:pt>
                <c:pt idx="2">
                  <c:v>Condiments</c:v>
                </c:pt>
                <c:pt idx="3">
                  <c:v>Dairy</c:v>
                </c:pt>
                <c:pt idx="4">
                  <c:v>Produce</c:v>
                </c:pt>
              </c:strCache>
            </c:strRef>
          </c:cat>
          <c:val>
            <c:numRef>
              <c:f>Dashboard!$I$14:$I$18</c:f>
              <c:numCache>
                <c:formatCode>"$"#,##0</c:formatCode>
                <c:ptCount val="5"/>
                <c:pt idx="0">
                  <c:v>751136.14</c:v>
                </c:pt>
                <c:pt idx="1">
                  <c:v>747016.6</c:v>
                </c:pt>
                <c:pt idx="2">
                  <c:v>721192.56</c:v>
                </c:pt>
                <c:pt idx="3">
                  <c:v>794132.58000000007</c:v>
                </c:pt>
                <c:pt idx="4">
                  <c:v>791499.3600000001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6-4A26-93AF-229684A48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723008"/>
        <c:axId val="326663376"/>
      </c:barChart>
      <c:catAx>
        <c:axId val="45172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663376"/>
        <c:crosses val="autoZero"/>
        <c:auto val="1"/>
        <c:lblAlgn val="ctr"/>
        <c:lblOffset val="100"/>
        <c:noMultiLvlLbl val="0"/>
      </c:catAx>
      <c:valAx>
        <c:axId val="3266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2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Baseline vs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Dashboard!$B$38</c:f>
              <c:strCache>
                <c:ptCount val="1"/>
                <c:pt idx="0">
                  <c:v>Baseline 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Dashboard!$A$39:$A$42</c:f>
              <c:strCache>
                <c:ptCount val="4"/>
                <c:pt idx="0">
                  <c:v>Other Expenses</c:v>
                </c:pt>
                <c:pt idx="1">
                  <c:v>Supply Chain</c:v>
                </c:pt>
                <c:pt idx="2">
                  <c:v>Marketing</c:v>
                </c:pt>
                <c:pt idx="3">
                  <c:v>Labor</c:v>
                </c:pt>
              </c:strCache>
            </c:strRef>
          </c:cat>
          <c:val>
            <c:numRef>
              <c:f>Dashboard!$B$39:$B$42</c:f>
              <c:numCache>
                <c:formatCode>"$"#,##0</c:formatCode>
                <c:ptCount val="4"/>
                <c:pt idx="0">
                  <c:v>1986804</c:v>
                </c:pt>
                <c:pt idx="1">
                  <c:v>711234</c:v>
                </c:pt>
                <c:pt idx="2">
                  <c:v>415224</c:v>
                </c:pt>
                <c:pt idx="3">
                  <c:v>524441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F-40F8-87D7-7F8CB35EF34A}"/>
            </c:ext>
          </c:extLst>
        </c:ser>
        <c:ser>
          <c:idx val="1"/>
          <c:order val="1"/>
          <c:tx>
            <c:strRef>
              <c:f>Dashboard!$C$38</c:f>
              <c:strCache>
                <c:ptCount val="1"/>
                <c:pt idx="0">
                  <c:v>Scenario Q1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Dashboard!$A$39:$A$42</c:f>
              <c:strCache>
                <c:ptCount val="4"/>
                <c:pt idx="0">
                  <c:v>Other Expenses</c:v>
                </c:pt>
                <c:pt idx="1">
                  <c:v>Supply Chain</c:v>
                </c:pt>
                <c:pt idx="2">
                  <c:v>Marketing</c:v>
                </c:pt>
                <c:pt idx="3">
                  <c:v>Labor</c:v>
                </c:pt>
              </c:strCache>
            </c:strRef>
          </c:cat>
          <c:val>
            <c:numRef>
              <c:f>Dashboard!$C$39:$C$42</c:f>
              <c:numCache>
                <c:formatCode>"$"#,##0</c:formatCode>
                <c:ptCount val="4"/>
                <c:pt idx="0">
                  <c:v>1986804.0000000002</c:v>
                </c:pt>
                <c:pt idx="1">
                  <c:v>782357.4</c:v>
                </c:pt>
                <c:pt idx="2">
                  <c:v>448441.92000000004</c:v>
                </c:pt>
                <c:pt idx="3">
                  <c:v>587373.92000000004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F-40F8-87D7-7F8CB35EF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1734144"/>
        <c:axId val="207505744"/>
      </c:barChart>
      <c:catAx>
        <c:axId val="451734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5744"/>
        <c:crosses val="autoZero"/>
        <c:auto val="1"/>
        <c:lblAlgn val="ctr"/>
        <c:lblOffset val="100"/>
        <c:noMultiLvlLbl val="0"/>
      </c:catAx>
      <c:valAx>
        <c:axId val="20750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3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Flow Before vs 10% Sales Drop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Cash_Flow_Impact!$D$13</c:f>
              <c:strCache>
                <c:ptCount val="1"/>
                <c:pt idx="0">
                  <c:v>Current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Cash_Flow_Impact!$A$14:$A$16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Asia</c:v>
                </c:pt>
              </c:strCache>
            </c:strRef>
          </c:cat>
          <c:val>
            <c:numRef>
              <c:f>Cash_Flow_Impact!$D$14:$D$16</c:f>
              <c:numCache>
                <c:formatCode>"$"#,##0</c:formatCode>
                <c:ptCount val="3"/>
                <c:pt idx="0">
                  <c:v>-279790.06000000029</c:v>
                </c:pt>
                <c:pt idx="1">
                  <c:v>5613.7399999999907</c:v>
                </c:pt>
                <c:pt idx="2">
                  <c:v>-433816.5700000003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A-4DC4-9BA3-E8C6C321436E}"/>
            </c:ext>
          </c:extLst>
        </c:ser>
        <c:ser>
          <c:idx val="1"/>
          <c:order val="1"/>
          <c:tx>
            <c:strRef>
              <c:f>Cash_Flow_Impact!$E$13</c:f>
              <c:strCache>
                <c:ptCount val="1"/>
                <c:pt idx="0">
                  <c:v>10% Drop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Cash_Flow_Impact!$A$14:$A$16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Asia</c:v>
                </c:pt>
              </c:strCache>
            </c:strRef>
          </c:cat>
          <c:val>
            <c:numRef>
              <c:f>Cash_Flow_Impact!$E$14:$E$16</c:f>
              <c:numCache>
                <c:formatCode>"$"#,##0</c:formatCode>
                <c:ptCount val="3"/>
                <c:pt idx="0">
                  <c:v>861890.31000000017</c:v>
                </c:pt>
                <c:pt idx="1">
                  <c:v>1036957.5</c:v>
                </c:pt>
                <c:pt idx="2">
                  <c:v>888438.10499999998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A-4DC4-9BA3-E8C6C321436E}"/>
            </c:ext>
          </c:extLst>
        </c:ser>
        <c:ser>
          <c:idx val="2"/>
          <c:order val="2"/>
          <c:tx>
            <c:strRef>
              <c:f>Cash_Flow_Impact!$F$13</c:f>
              <c:strCache>
                <c:ptCount val="1"/>
                <c:pt idx="0">
                  <c:v>10% Drop Cash Flow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Cash_Flow_Impact!$A$14:$A$16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Asia</c:v>
                </c:pt>
              </c:strCache>
            </c:strRef>
          </c:cat>
          <c:val>
            <c:numRef>
              <c:f>Cash_Flow_Impact!$F$14:$F$16</c:f>
              <c:numCache>
                <c:formatCode>"$"#,##0</c:formatCode>
                <c:ptCount val="3"/>
                <c:pt idx="0">
                  <c:v>-375555.65000000026</c:v>
                </c:pt>
                <c:pt idx="1">
                  <c:v>-109603.76000000001</c:v>
                </c:pt>
                <c:pt idx="2">
                  <c:v>-532531.91500000027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CA-4DC4-9BA3-E8C6C3214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888624"/>
        <c:axId val="326684496"/>
      </c:barChart>
      <c:catAx>
        <c:axId val="63188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684496"/>
        <c:crosses val="autoZero"/>
        <c:auto val="1"/>
        <c:lblAlgn val="ctr"/>
        <c:lblOffset val="100"/>
        <c:noMultiLvlLbl val="0"/>
      </c:catAx>
      <c:valAx>
        <c:axId val="32668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Cash Flow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Flow Impact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Cash_Flow_Impact!$G$20</c:f>
              <c:strCache>
                <c:ptCount val="1"/>
                <c:pt idx="0">
                  <c:v>Cash Flow Impact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Cash_Flow_Impact!$A$21:$A$25</c:f>
              <c:strCache>
                <c:ptCount val="5"/>
                <c:pt idx="0">
                  <c:v>Beverages</c:v>
                </c:pt>
                <c:pt idx="1">
                  <c:v>Snacks</c:v>
                </c:pt>
                <c:pt idx="2">
                  <c:v>Condiments</c:v>
                </c:pt>
                <c:pt idx="3">
                  <c:v>Dairy</c:v>
                </c:pt>
                <c:pt idx="4">
                  <c:v>Produce</c:v>
                </c:pt>
              </c:strCache>
            </c:strRef>
          </c:cat>
          <c:val>
            <c:numRef>
              <c:f>Cash_Flow_Impact!$G$21:$G$25</c:f>
              <c:numCache>
                <c:formatCode>"$"#,##0</c:formatCode>
                <c:ptCount val="5"/>
                <c:pt idx="0">
                  <c:v>-69141.38</c:v>
                </c:pt>
                <c:pt idx="1">
                  <c:v>-56884.804999999993</c:v>
                </c:pt>
                <c:pt idx="2">
                  <c:v>-61932.189999999944</c:v>
                </c:pt>
                <c:pt idx="3">
                  <c:v>-59211.170000000042</c:v>
                </c:pt>
                <c:pt idx="4">
                  <c:v>-62528.890000000014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B-4252-B972-DE585F753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1856144"/>
        <c:axId val="326765136"/>
      </c:barChart>
      <c:catAx>
        <c:axId val="631856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65136"/>
        <c:crosses val="autoZero"/>
        <c:auto val="1"/>
        <c:lblAlgn val="ctr"/>
        <c:lblOffset val="100"/>
        <c:noMultiLvlLbl val="0"/>
      </c:catAx>
      <c:valAx>
        <c:axId val="32676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Impact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5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2" name="Revenue vs Expenses by Category">
          <a:extLst>
            <a:ext uri="{FF2B5EF4-FFF2-40B4-BE49-F238E27FC236}">
              <a16:creationId xmlns:a16="http://schemas.microsoft.com/office/drawing/2014/main" id="{03FBECB5-E98D-3E4A-2F8C-9B941512E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890587</xdr:colOff>
      <xdr:row>19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4" name="Cost Baseline vs Scenario">
          <a:extLst>
            <a:ext uri="{FF2B5EF4-FFF2-40B4-BE49-F238E27FC236}">
              <a16:creationId xmlns:a16="http://schemas.microsoft.com/office/drawing/2014/main" id="{7B56B5AF-7361-BD21-A8E0-400FCD743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32</xdr:row>
      <xdr:rowOff>0</xdr:rowOff>
    </xdr:from>
    <xdr:to>
      <xdr:col>4</xdr:col>
      <xdr:colOff>1</xdr:colOff>
      <xdr:row>48</xdr:row>
      <xdr:rowOff>0</xdr:rowOff>
    </xdr:to>
    <xdr:graphicFrame macro="">
      <xdr:nvGraphicFramePr>
        <xdr:cNvPr id="2" name="Cash Flow Before vs Sales Drop">
          <a:extLst>
            <a:ext uri="{FF2B5EF4-FFF2-40B4-BE49-F238E27FC236}">
              <a16:creationId xmlns:a16="http://schemas.microsoft.com/office/drawing/2014/main" id="{E4DDE917-10A6-A58D-5A86-DE8DFFD52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32</xdr:row>
      <xdr:rowOff>0</xdr:rowOff>
    </xdr:from>
    <xdr:to>
      <xdr:col>8</xdr:col>
      <xdr:colOff>1</xdr:colOff>
      <xdr:row>48</xdr:row>
      <xdr:rowOff>0</xdr:rowOff>
    </xdr:to>
    <xdr:graphicFrame macro="">
      <xdr:nvGraphicFramePr>
        <xdr:cNvPr id="3" name="Cash Flow Impact by Category">
          <a:extLst>
            <a:ext uri="{FF2B5EF4-FFF2-40B4-BE49-F238E27FC236}">
              <a16:creationId xmlns:a16="http://schemas.microsoft.com/office/drawing/2014/main" id="{6B5F7F22-4440-DA3A-31EF-115349673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B3A6D6-E3B7-42C7-9B51-A24EC10D122D}" name="RegionSummary" displayName="RegionSummary" ref="A13:E16" totalsRowShown="0">
  <autoFilter ref="A13:E16" xr:uid="{7EB3A6D6-E3B7-42C7-9B51-A24EC10D122D}"/>
  <tableColumns count="5">
    <tableColumn id="1" xr3:uid="{FA5DD022-E2B7-439A-8588-455E7AAC1F41}" name="Region"/>
    <tableColumn id="2" xr3:uid="{848BF568-4AA4-4693-9C17-67187341302C}" name="Revenue" dataDxfId="32">
      <calculatedColumnFormula>SUMIFS(Q1Forecast[Forecast Revenue],Q1Forecast[Region],RegionSummary[[#This Row],[Region]])</calculatedColumnFormula>
    </tableColumn>
    <tableColumn id="3" xr3:uid="{D7EE9878-FCBC-4816-83A6-21F07443ECCE}" name="Expenses" dataDxfId="31">
      <calculatedColumnFormula>SUMIFS(Q1Forecast[Total Expenses],Q1Forecast[Region],RegionSummary[[#This Row],[Region]])</calculatedColumnFormula>
    </tableColumn>
    <tableColumn id="4" xr3:uid="{739B410A-D80D-4912-BDB4-2D5B89629038}" name="Net Income" dataDxfId="30">
      <calculatedColumnFormula>RegionSummary[[#This Row],[Revenue]]-RegionSummary[[#This Row],[Expenses]]</calculatedColumnFormula>
    </tableColumn>
    <tableColumn id="5" xr3:uid="{E9D66949-BD05-48A6-A60D-66329F876336}" name="Net Margin" dataDxfId="29">
      <calculatedColumnFormula>IFERROR(RegionSummary[[#This Row],[Net Income]]/RegionSummary[[#This Row],[Revenue]],0)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890199-9A85-4AD6-9E78-412401904379}" name="CategorySummary" displayName="CategorySummary" ref="G13:J18" totalsRowShown="0">
  <autoFilter ref="G13:J18" xr:uid="{84890199-9A85-4AD6-9E78-412401904379}"/>
  <tableColumns count="4">
    <tableColumn id="1" xr3:uid="{1BC6E970-EB3F-4435-BA01-A24DA652E277}" name="Category"/>
    <tableColumn id="2" xr3:uid="{D8F8869A-8F95-4444-A106-8258D6024B17}" name="Revenue" dataDxfId="28">
      <calculatedColumnFormula>SUMIFS(Q1Forecast[Forecast Revenue],Q1Forecast[Category],CategorySummary[[#This Row],[Category]])</calculatedColumnFormula>
    </tableColumn>
    <tableColumn id="3" xr3:uid="{485518EE-5D3B-4591-B2BD-A86EE2249520}" name="Expenses" dataDxfId="27">
      <calculatedColumnFormula>SUMIFS(Q1Forecast[Total Expenses],Q1Forecast[Category],CategorySummary[[#This Row],[Category]])</calculatedColumnFormula>
    </tableColumn>
    <tableColumn id="4" xr3:uid="{C9A383F9-E399-4AE1-B694-2CE98F7171BC}" name="Net Margin" dataDxfId="26">
      <calculatedColumnFormula>IFERROR((CategorySummary[[#This Row],[Revenue]]-CategorySummary[[#This Row],[Expenses]])/CategorySummary[[#This Row],[Revenue]],0)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81A277-D049-42AF-A505-DD62C587B6C5}" name="SavingsPlan" displayName="SavingsPlan" ref="A38:F43" totalsRowShown="0">
  <autoFilter ref="A38:F43" xr:uid="{6E81A277-D049-42AF-A505-DD62C587B6C5}"/>
  <tableColumns count="6">
    <tableColumn id="1" xr3:uid="{158BC45E-9827-440E-8FC8-FD49D3EF204D}" name="Cost Area"/>
    <tableColumn id="2" xr3:uid="{11122F8A-6867-42E4-A28B-0E4D4F6D706B}" name="Baseline Q1" dataDxfId="25"/>
    <tableColumn id="3" xr3:uid="{4EAB29DD-5C62-4400-8D31-DF843D3D4AFB}" name="Scenario Q1" dataDxfId="24"/>
    <tableColumn id="4" xr3:uid="{CE1A7588-AD22-4300-8939-12C5E5376F67}" name="Incremental Cost" dataDxfId="23"/>
    <tableColumn id="5" xr3:uid="{CA3A388C-1496-4540-8067-A144BCAE0EB1}" name="Target Saving %" dataDxfId="22"/>
    <tableColumn id="6" xr3:uid="{84500052-79FA-4EB3-8D7D-D47C6F3C9EC5}" name="Savings Potential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CACEC1-B18A-4F37-B1D3-09C9E543DA68}" name="Q1Forecast" displayName="Q1Forecast" ref="A4:N49" totalsRowShown="0">
  <autoFilter ref="A4:N49" xr:uid="{38CACEC1-B18A-4F37-B1D3-09C9E543DA68}"/>
  <tableColumns count="14">
    <tableColumn id="1" xr3:uid="{8F5221A9-8068-4689-96FF-810720467A4F}" name="Category"/>
    <tableColumn id="2" xr3:uid="{E0BA9363-6F13-4E7D-98CB-D1FC7FC0D211}" name="Region"/>
    <tableColumn id="3" xr3:uid="{6790EA64-1EC3-448B-8D85-6C502AD470C3}" name="Month"/>
    <tableColumn id="4" xr3:uid="{B7967552-5EB2-461D-8A85-DDB238FC364B}" name="Base Revenue" dataDxfId="47">
      <calculatedColumnFormula>AVERAGEIFS(Q4Forecast[Projected Revenue],Q4Forecast[Category],Q1Forecast[[#This Row],[Category]],Q4Forecast[Region],Q1Forecast[[#This Row],[Region]])</calculatedColumnFormula>
    </tableColumn>
    <tableColumn id="5" xr3:uid="{5F4EBFFC-AA14-4F2C-825E-0CAC36AD0F61}" name="Forecast Revenue" dataDxfId="46">
      <calculatedColumnFormula>Q1Forecast[[#This Row],[Base Revenue]]*(1+INDEX(ScenarioInputs[% Change],MATCH("Decrease Demand",ScenarioInputs[Scenario],0)))</calculatedColumnFormula>
    </tableColumn>
    <tableColumn id="6" xr3:uid="{9F86006A-5614-4C64-A8B8-AABF0F38116E}" name="Base Other Expenses" dataDxfId="45">
      <calculatedColumnFormula>AVERAGEIFS(Q4Forecast[Projected Expenses],Q4Forecast[Category],Q1Forecast[[#This Row],[Category]],Q4Forecast[Region],Q1Forecast[[#This Row],[Region]])</calculatedColumnFormula>
    </tableColumn>
    <tableColumn id="7" xr3:uid="{99AD0E32-5299-4B11-AEBD-A5F4DF3EB1A1}" name="Forecast Supply Chain" dataDxfId="44">
      <calculatedColumnFormula>AVERAGEIFS(Q4Forecast[Supply Chain Cost],Q4Forecast[Category],Q1Forecast[[#This Row],[Category]],Q4Forecast[Region],Q1Forecast[[#This Row],[Region]])*(1+INDEX(ScenarioInputs[% Change],MATCH("Increase Supply Chain Cost",ScenarioInputs[Scenario],0)))</calculatedColumnFormula>
    </tableColumn>
    <tableColumn id="8" xr3:uid="{8B21BFA5-4EBE-41F2-870E-0A1CAFCBD1D7}" name="Forecast Marketing" dataDxfId="43">
      <calculatedColumnFormula>AVERAGEIFS(Q4Forecast[Marketing Cost],Q4Forecast[Category],Q1Forecast[[#This Row],[Category]],Q4Forecast[Region],Q1Forecast[[#This Row],[Region]])*(1+INDEX(ScenarioInputs[% Change],MATCH("Increase Marketing Spend",ScenarioInputs[Scenario],0)))</calculatedColumnFormula>
    </tableColumn>
    <tableColumn id="9" xr3:uid="{643CD3A4-1A9E-44A8-AA22-D5BABE1B6FD5}" name="Forecast Labor" dataDxfId="42">
      <calculatedColumnFormula>AVERAGEIFS(Q4Forecast[Labor Cost],Q4Forecast[Category],Q1Forecast[[#This Row],[Category]],Q4Forecast[Region],Q1Forecast[[#This Row],[Region]])*(1+INDEX(ScenarioInputs[% Change],MATCH("Labor Cost Surge",ScenarioInputs[Scenario],0)))</calculatedColumnFormula>
    </tableColumn>
    <tableColumn id="10" xr3:uid="{352F9073-9CFA-48CB-A822-29F5F9D308CD}" name="Total Expenses" dataDxfId="41">
      <calculatedColumnFormula>SUM(Q1Forecast[[#This Row],[Base Other Expenses]]:Q1Forecast[[#This Row],[Forecast Labor]])</calculatedColumnFormula>
    </tableColumn>
    <tableColumn id="11" xr3:uid="{DACA7F25-2352-42CB-93C3-3F3A9459127D}" name="Net Income" dataDxfId="40">
      <calculatedColumnFormula>Q1Forecast[[#This Row],[Forecast Revenue]]-Q1Forecast[[#This Row],[Total Expenses]]</calculatedColumnFormula>
    </tableColumn>
    <tableColumn id="12" xr3:uid="{EE9BBF3C-55F2-48D9-815D-D8296C9231AC}" name="Net Margin" dataDxfId="39">
      <calculatedColumnFormula>IFERROR(Q1Forecast[[#This Row],[Net Income]]/Q1Forecast[[#This Row],[Forecast Revenue]],0)</calculatedColumnFormula>
    </tableColumn>
    <tableColumn id="13" xr3:uid="{9E0C2226-2ACD-40DB-899D-93A14F877245}" name="Overspend Flag">
      <calculatedColumnFormula>IF(Q1Forecast[[#This Row],[Total Expenses]]&gt;Q1Forecast[[#This Row],[Forecast Revenue]],"Overspend",IF(Q1Forecast[[#This Row],[Total Expenses]]/Q1Forecast[[#This Row],[Forecast Revenue]]&gt;=0.85,"Watch","Controlled"))</calculatedColumnFormula>
    </tableColumn>
    <tableColumn id="14" xr3:uid="{DF33C71E-8E53-4083-995A-4B5DF6C6728C}" name="Savings Opportunity" dataDxfId="20">
      <calculatedColumnFormula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990C36-FE64-4F5C-A731-2D05F2CBE693}" name="Q4Forecast" displayName="Q4Forecast" ref="A4:J49" totalsRowShown="0" headerRowDxfId="64" headerRowBorderDxfId="65" tableBorderDxfId="66">
  <autoFilter ref="A4:J49" xr:uid="{E7990C36-FE64-4F5C-A731-2D05F2CBE693}"/>
  <tableColumns count="10">
    <tableColumn id="1" xr3:uid="{8D784C4A-D19D-4BB1-9D51-447922DD28CA}" name="Category"/>
    <tableColumn id="2" xr3:uid="{3ECCFA21-ACA3-46B2-B71B-D76667717BDB}" name="Region"/>
    <tableColumn id="3" xr3:uid="{DE99B373-5FE2-4F94-9008-648CDD85D6D5}" name="Month"/>
    <tableColumn id="4" xr3:uid="{436BB626-5C91-4874-93BA-11CFA097E177}" name="Projected Revenue" dataDxfId="38"/>
    <tableColumn id="5" xr3:uid="{598CF2BD-81E1-441F-993C-4EA1D498EF13}" name="Projected Expenses" dataDxfId="37"/>
    <tableColumn id="6" xr3:uid="{91220A3C-5B29-4B5D-A9C0-EB17364E3837}" name="Supply Chain Cost" dataDxfId="36"/>
    <tableColumn id="7" xr3:uid="{1FAE2023-C30A-4803-850D-73B06F85602E}" name="Marketing Cost" dataDxfId="35"/>
    <tableColumn id="8" xr3:uid="{40B2E40B-E8F9-4DE2-B363-E9229B48DEE2}" name="Labor Cost" dataDxfId="34"/>
    <tableColumn id="9" xr3:uid="{9394EA31-2487-4939-AC23-C4CA5D914E3B}" name="Profit Margin" dataDxfId="33"/>
    <tableColumn id="10" xr3:uid="{32F458FF-A3AF-4598-B8E2-9B6DA7B38A05}" name="Risk Facto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F0B392-8A18-4BA5-800C-E763C5B7A1D5}" name="ScenarioInputs" displayName="ScenarioInputs" ref="A4:B8" totalsRowShown="0" headerRowDxfId="61" headerRowBorderDxfId="62" tableBorderDxfId="63">
  <autoFilter ref="A4:B8" xr:uid="{B5F0B392-8A18-4BA5-800C-E763C5B7A1D5}"/>
  <tableColumns count="2">
    <tableColumn id="1" xr3:uid="{9EF917E8-8E38-4B3B-B343-409B763440B0}" name="Scenario"/>
    <tableColumn id="2" xr3:uid="{A62EF3BF-1819-4BE6-B444-8A0288478A9D}" name="% Change" dataDxfId="4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2FCFCA-DDAC-4728-ADE3-C2D2795E7B12}" name="SalesDropRegionImpact" displayName="SalesDropRegionImpact" ref="A13:H16" totalsRowShown="0" headerRowDxfId="1" dataDxfId="19">
  <autoFilter ref="A13:H16" xr:uid="{D02FCFCA-DDAC-4728-ADE3-C2D2795E7B12}"/>
  <tableColumns count="8">
    <tableColumn id="1" xr3:uid="{6DF8645C-4660-46A5-BEC6-21D7D3F18363}" name="Region" dataDxfId="3"/>
    <tableColumn id="2" xr3:uid="{9AA56639-C2F3-49F4-A632-9551FDE2F7AB}" name="Current Sales" dataDxfId="17">
      <calculatedColumnFormula>SUMIFS(Q1Forecast[Forecast Revenue],Q1Forecast[Region],SalesDropRegionImpact[[#This Row],[Region]])</calculatedColumnFormula>
    </tableColumn>
    <tableColumn id="3" xr3:uid="{AFA8B79A-8BBD-4C32-A3A5-39B7229EF66E}" name="Current Expenses" dataDxfId="16">
      <calculatedColumnFormula>SUMIFS(Q1Forecast[Total Expenses],Q1Forecast[Region],SalesDropRegionImpact[[#This Row],[Region]])</calculatedColumnFormula>
    </tableColumn>
    <tableColumn id="4" xr3:uid="{A88D80A1-0B6E-486F-83F5-1E3714EA94B6}" name="Current Cash Flow" dataDxfId="15">
      <calculatedColumnFormula>SalesDropRegionImpact[[#This Row],[Current Sales]]-SalesDropRegionImpact[[#This Row],[Current Expenses]]</calculatedColumnFormula>
    </tableColumn>
    <tableColumn id="5" xr3:uid="{BB4F275B-364C-46D8-9EC7-B96458EE9517}" name="10% Drop Sales" dataDxfId="14">
      <calculatedColumnFormula>SalesDropRegionImpact[[#This Row],[Current Sales]]*(1+$B$5)</calculatedColumnFormula>
    </tableColumn>
    <tableColumn id="6" xr3:uid="{A4D3055C-E2F1-44C3-B19D-46044C77994D}" name="10% Drop Cash Flow" dataDxfId="13">
      <calculatedColumnFormula>SalesDropRegionImpact[[#This Row],[10% Drop Sales]]-SalesDropRegionImpact[[#This Row],[Current Expenses]]</calculatedColumnFormula>
    </tableColumn>
    <tableColumn id="7" xr3:uid="{69A8551D-15D8-4DDB-A39F-D3E74E6C3050}" name="Cash Flow Impact" dataDxfId="12">
      <calculatedColumnFormula>SalesDropRegionImpact[[#This Row],[10% Drop Cash Flow]]-SalesDropRegionImpact[[#This Row],[Current Cash Flow]]</calculatedColumnFormula>
    </tableColumn>
    <tableColumn id="8" xr3:uid="{67C3EEAC-6B87-440F-91D6-F9FB9EF30E8D}" name="Impact %" dataDxfId="11">
      <calculatedColumnFormula>IFERROR(SalesDropRegionImpact[[#This Row],[Cash Flow Impact]]/ABS(SalesDropRegionImpact[[#This Row],[Current Cash Flow]]),0)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389BBC-3FDB-4A03-B8A6-2479AAC70A9C}" name="SalesDropCategoryImpact" displayName="SalesDropCategoryImpact" ref="A20:H25" totalsRowShown="0" headerRowDxfId="0" dataDxfId="18">
  <autoFilter ref="A20:H25" xr:uid="{6B389BBC-3FDB-4A03-B8A6-2479AAC70A9C}"/>
  <tableColumns count="8">
    <tableColumn id="1" xr3:uid="{5BA2DE74-CC07-40A0-8CE9-F17E3271817D}" name="Category" dataDxfId="2"/>
    <tableColumn id="2" xr3:uid="{BB4EFE4E-6F09-449A-ABD8-8ABA7FB5B06D}" name="Current Sales" dataDxfId="10">
      <calculatedColumnFormula>SUMIFS(Q1Forecast[Forecast Revenue],Q1Forecast[Category],SalesDropCategoryImpact[[#This Row],[Category]])</calculatedColumnFormula>
    </tableColumn>
    <tableColumn id="3" xr3:uid="{33608A1D-5195-4B19-8DAC-2365AA15BCA6}" name="Current Expenses" dataDxfId="9">
      <calculatedColumnFormula>SUMIFS(Q1Forecast[Total Expenses],Q1Forecast[Category],SalesDropCategoryImpact[[#This Row],[Category]])</calculatedColumnFormula>
    </tableColumn>
    <tableColumn id="4" xr3:uid="{31BE5A06-A3F9-41B7-8678-381E2E2CE6C7}" name="Current Cash Flow" dataDxfId="8">
      <calculatedColumnFormula>SalesDropCategoryImpact[[#This Row],[Current Sales]]-SalesDropCategoryImpact[[#This Row],[Current Expenses]]</calculatedColumnFormula>
    </tableColumn>
    <tableColumn id="5" xr3:uid="{B61D7847-E103-466A-A095-CE80EAA9425D}" name="10% Drop Sales" dataDxfId="7">
      <calculatedColumnFormula>SalesDropCategoryImpact[[#This Row],[Current Sales]]*(1+$B$5)</calculatedColumnFormula>
    </tableColumn>
    <tableColumn id="6" xr3:uid="{ACD7C7FE-F3D2-424D-A372-8FFD5BD71E44}" name="10% Drop Cash Flow" dataDxfId="6">
      <calculatedColumnFormula>SalesDropCategoryImpact[[#This Row],[10% Drop Sales]]-SalesDropCategoryImpact[[#This Row],[Current Expenses]]</calculatedColumnFormula>
    </tableColumn>
    <tableColumn id="7" xr3:uid="{E5DB17D6-F4F2-4525-AF46-74F716BB2502}" name="Cash Flow Impact" dataDxfId="5">
      <calculatedColumnFormula>SalesDropCategoryImpact[[#This Row],[10% Drop Cash Flow]]-SalesDropCategoryImpact[[#This Row],[Current Cash Flow]]</calculatedColumnFormula>
    </tableColumn>
    <tableColumn id="8" xr3:uid="{333B8A70-A6D0-4014-950D-DEBA6CACD2B1}" name="Impact %" dataDxfId="4">
      <calculatedColumnFormula>IFERROR(SalesDropCategoryImpact[[#This Row],[Cash Flow Impact]]/ABS(SalesDropCategoryImpact[[#This Row],[Current Cash Flow]]),0)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7F7C-A43C-4AE3-9F77-E682AA5C5AAF}">
  <dimension ref="A1:H15"/>
  <sheetViews>
    <sheetView workbookViewId="0">
      <selection sqref="A1:H1"/>
    </sheetView>
  </sheetViews>
  <sheetFormatPr defaultRowHeight="14.25" x14ac:dyDescent="0.45"/>
  <cols>
    <col min="1" max="1" width="35.53125" customWidth="1"/>
    <col min="2" max="8" width="12.46484375" customWidth="1"/>
  </cols>
  <sheetData>
    <row r="1" spans="1:8" ht="25.5" x14ac:dyDescent="0.45">
      <c r="A1" s="7" t="s">
        <v>79</v>
      </c>
      <c r="B1" s="7"/>
      <c r="C1" s="7"/>
      <c r="D1" s="7"/>
      <c r="E1" s="7"/>
      <c r="F1" s="7"/>
      <c r="G1" s="7"/>
      <c r="H1" s="7"/>
    </row>
    <row r="2" spans="1:8" x14ac:dyDescent="0.45">
      <c r="A2" s="10" t="s">
        <v>80</v>
      </c>
      <c r="B2" s="10"/>
      <c r="C2" s="10"/>
      <c r="D2" s="10"/>
      <c r="E2" s="10"/>
      <c r="F2" s="10"/>
      <c r="G2" s="10"/>
      <c r="H2" s="10"/>
    </row>
    <row r="4" spans="1:8" ht="15.75" x14ac:dyDescent="0.45">
      <c r="A4" s="8" t="s">
        <v>81</v>
      </c>
      <c r="B4" s="8"/>
      <c r="C4" s="8"/>
      <c r="D4" s="8"/>
      <c r="E4" s="8"/>
      <c r="F4" s="8"/>
      <c r="G4" s="8"/>
      <c r="H4" s="8"/>
    </row>
    <row r="6" spans="1:8" x14ac:dyDescent="0.45">
      <c r="A6" s="2" t="s">
        <v>82</v>
      </c>
      <c r="B6" s="4" t="s">
        <v>83</v>
      </c>
      <c r="C6" s="4"/>
      <c r="D6" s="4"/>
      <c r="E6" s="4"/>
      <c r="F6" s="4"/>
      <c r="G6" s="4"/>
      <c r="H6" s="4"/>
    </row>
    <row r="7" spans="1:8" x14ac:dyDescent="0.45">
      <c r="A7" s="2" t="s">
        <v>84</v>
      </c>
      <c r="B7" s="4" t="s">
        <v>85</v>
      </c>
      <c r="C7" s="4"/>
      <c r="D7" s="4"/>
      <c r="E7" s="4"/>
      <c r="F7" s="4"/>
      <c r="G7" s="4"/>
      <c r="H7" s="4"/>
    </row>
    <row r="8" spans="1:8" x14ac:dyDescent="0.45">
      <c r="A8" s="2" t="s">
        <v>86</v>
      </c>
      <c r="B8" s="4" t="s">
        <v>87</v>
      </c>
      <c r="C8" s="4"/>
      <c r="D8" s="4"/>
      <c r="E8" s="4"/>
      <c r="F8" s="4"/>
      <c r="G8" s="4"/>
      <c r="H8" s="4"/>
    </row>
    <row r="9" spans="1:8" x14ac:dyDescent="0.45">
      <c r="A9" s="2" t="s">
        <v>88</v>
      </c>
      <c r="B9" s="5" t="s">
        <v>89</v>
      </c>
      <c r="C9" s="5"/>
      <c r="D9" s="5"/>
      <c r="E9" s="5"/>
      <c r="F9" s="5"/>
      <c r="G9" s="5"/>
      <c r="H9" s="5"/>
    </row>
    <row r="10" spans="1:8" x14ac:dyDescent="0.45">
      <c r="A10" s="2" t="s">
        <v>110</v>
      </c>
      <c r="B10" s="5" t="s">
        <v>111</v>
      </c>
      <c r="C10" s="5"/>
      <c r="D10" s="5"/>
      <c r="E10" s="5"/>
      <c r="F10" s="5"/>
      <c r="G10" s="5"/>
      <c r="H10" s="5"/>
    </row>
    <row r="11" spans="1:8" x14ac:dyDescent="0.45">
      <c r="B11" s="20"/>
      <c r="C11" s="20"/>
      <c r="D11" s="20"/>
      <c r="E11" s="20"/>
      <c r="F11" s="20"/>
      <c r="G11" s="20"/>
      <c r="H11" s="20"/>
    </row>
    <row r="12" spans="1:8" ht="15.75" x14ac:dyDescent="0.45">
      <c r="A12" s="8" t="s">
        <v>90</v>
      </c>
      <c r="B12" s="23"/>
      <c r="C12" s="23"/>
      <c r="D12" s="23"/>
      <c r="E12" s="23"/>
      <c r="F12" s="23"/>
      <c r="G12" s="23"/>
      <c r="H12" s="23"/>
    </row>
    <row r="13" spans="1:8" x14ac:dyDescent="0.45">
      <c r="A13" s="6" t="s">
        <v>91</v>
      </c>
      <c r="B13" s="6"/>
      <c r="C13" s="6"/>
      <c r="D13" s="6"/>
      <c r="E13" s="6"/>
      <c r="F13" s="6"/>
      <c r="G13" s="6"/>
      <c r="H13" s="6"/>
    </row>
    <row r="14" spans="1:8" x14ac:dyDescent="0.45">
      <c r="A14" s="6"/>
      <c r="B14" s="6"/>
      <c r="C14" s="6"/>
      <c r="D14" s="6"/>
      <c r="E14" s="6"/>
      <c r="F14" s="6"/>
      <c r="G14" s="6"/>
      <c r="H14" s="6"/>
    </row>
    <row r="15" spans="1:8" x14ac:dyDescent="0.45">
      <c r="A15" s="6"/>
      <c r="B15" s="6"/>
      <c r="C15" s="6"/>
      <c r="D15" s="6"/>
      <c r="E15" s="6"/>
      <c r="F15" s="6"/>
      <c r="G15" s="6"/>
      <c r="H15" s="6"/>
    </row>
  </sheetData>
  <mergeCells count="10">
    <mergeCell ref="B9:H9"/>
    <mergeCell ref="A12:H12"/>
    <mergeCell ref="A13:H15"/>
    <mergeCell ref="B10:H10"/>
    <mergeCell ref="A1:H1"/>
    <mergeCell ref="A2:H2"/>
    <mergeCell ref="A4:H4"/>
    <mergeCell ref="B6:H6"/>
    <mergeCell ref="B7:H7"/>
    <mergeCell ref="B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4E28-B9D3-4D54-BDCC-FB4868FBE25A}">
  <dimension ref="A1:L43"/>
  <sheetViews>
    <sheetView workbookViewId="0">
      <selection sqref="A1:N1"/>
    </sheetView>
  </sheetViews>
  <sheetFormatPr defaultRowHeight="14.25" x14ac:dyDescent="0.45"/>
  <cols>
    <col min="1" max="1" width="15.1328125" customWidth="1"/>
    <col min="2" max="4" width="13.33203125" customWidth="1"/>
    <col min="5" max="5" width="11.53125" customWidth="1"/>
    <col min="6" max="6" width="12.46484375" customWidth="1"/>
    <col min="7" max="7" width="15.1328125" customWidth="1"/>
    <col min="8" max="9" width="13.33203125" customWidth="1"/>
    <col min="10" max="10" width="11.53125" customWidth="1"/>
    <col min="11" max="12" width="12.46484375" customWidth="1"/>
  </cols>
  <sheetData>
    <row r="1" spans="1:12" ht="25.5" x14ac:dyDescent="0.45">
      <c r="A1" s="7" t="s">
        <v>50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45">
      <c r="A2" s="10" t="s">
        <v>51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x14ac:dyDescent="0.45">
      <c r="A4" s="11" t="s">
        <v>52</v>
      </c>
      <c r="B4" s="11"/>
      <c r="C4" s="11"/>
      <c r="D4" s="11" t="s">
        <v>53</v>
      </c>
      <c r="E4" s="11"/>
      <c r="F4" s="11"/>
      <c r="G4" s="11" t="s">
        <v>54</v>
      </c>
      <c r="H4" s="11"/>
      <c r="I4" s="11"/>
      <c r="J4" s="12" t="s">
        <v>55</v>
      </c>
      <c r="K4" s="12"/>
      <c r="L4" s="12"/>
    </row>
    <row r="5" spans="1:12" x14ac:dyDescent="0.45">
      <c r="A5" s="18">
        <f>SUM(Q1Forecast[Forecast Revenue])</f>
        <v>3096984.3499999992</v>
      </c>
      <c r="B5" s="18"/>
      <c r="C5" s="18"/>
      <c r="D5" s="18">
        <f>SUM(Q1Forecast[Total Expenses])</f>
        <v>3804977.2399999998</v>
      </c>
      <c r="E5" s="18"/>
      <c r="F5" s="18"/>
      <c r="G5" s="18">
        <f>SUM(Q1Forecast[Net Income])</f>
        <v>-707992.89000000025</v>
      </c>
      <c r="H5" s="18"/>
      <c r="I5" s="18"/>
      <c r="J5" s="19">
        <f>IFERROR(G5/A5,0)</f>
        <v>-0.22860719008799654</v>
      </c>
      <c r="K5" s="19"/>
      <c r="L5" s="19"/>
    </row>
    <row r="6" spans="1:12" x14ac:dyDescent="0.45">
      <c r="A6" s="18"/>
      <c r="B6" s="18"/>
      <c r="C6" s="18"/>
      <c r="D6" s="18"/>
      <c r="E6" s="18"/>
      <c r="F6" s="18"/>
      <c r="G6" s="18"/>
      <c r="H6" s="18"/>
      <c r="I6" s="18"/>
      <c r="J6" s="19"/>
      <c r="K6" s="19"/>
      <c r="L6" s="19"/>
    </row>
    <row r="8" spans="1:12" x14ac:dyDescent="0.45">
      <c r="A8" s="13" t="str">
        <f>"The scenario reduces demand by "&amp;TEXT(ABS(INDEX(ScenarioInputs[% Change],MATCH("Decrease Demand",ScenarioInputs[Scenario],0))),"0%")&amp;", while supply-chain, marketing, and labor costs rise. Forecast revenue is "&amp;TEXT(A5,"$#,##0")&amp;" against expenses of "&amp;TEXT(D5,"$#,##0")&amp;", producing net income of "&amp;TEXT(G5,"$#,##0")&amp;" and a "&amp;TEXT(J5,"0.0%")&amp;" margin. Focus savings on the largest incremental cost pools and on any category or region with a negative margin."</f>
        <v>The scenario reduces demand by 15%, while supply-chain, marketing, and labor costs rise. Forecast revenue is $3,096,984 against expenses of $3,804,977, producing net income of -$707,993 and a -22.9% margin. Focus savings on the largest incremental cost pools and on any category or region with a negative margin.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x14ac:dyDescent="0.4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 x14ac:dyDescent="0.4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2" spans="1:12" ht="15.75" x14ac:dyDescent="0.45">
      <c r="A12" s="8" t="s">
        <v>56</v>
      </c>
      <c r="B12" s="8"/>
      <c r="C12" s="8"/>
      <c r="D12" s="8"/>
      <c r="E12" s="8"/>
      <c r="G12" s="8" t="s">
        <v>57</v>
      </c>
      <c r="H12" s="8"/>
      <c r="I12" s="8"/>
      <c r="J12" s="8"/>
      <c r="K12" s="8"/>
      <c r="L12" s="8"/>
    </row>
    <row r="13" spans="1:12" x14ac:dyDescent="0.45">
      <c r="A13" t="s">
        <v>1</v>
      </c>
      <c r="B13" t="s">
        <v>58</v>
      </c>
      <c r="C13" t="s">
        <v>59</v>
      </c>
      <c r="D13" t="s">
        <v>43</v>
      </c>
      <c r="E13" t="s">
        <v>44</v>
      </c>
      <c r="G13" t="s">
        <v>0</v>
      </c>
      <c r="H13" t="s">
        <v>58</v>
      </c>
      <c r="I13" t="s">
        <v>59</v>
      </c>
      <c r="J13" t="s">
        <v>44</v>
      </c>
    </row>
    <row r="14" spans="1:12" x14ac:dyDescent="0.45">
      <c r="A14" t="s">
        <v>11</v>
      </c>
      <c r="B14" s="16">
        <f>SUMIFS(Q1Forecast[Forecast Revenue],Q1Forecast[Region],RegionSummary[[#This Row],[Region]])</f>
        <v>957655.90000000014</v>
      </c>
      <c r="C14" s="16">
        <f>SUMIFS(Q1Forecast[Total Expenses],Q1Forecast[Region],RegionSummary[[#This Row],[Region]])</f>
        <v>1237445.9600000004</v>
      </c>
      <c r="D14" s="16">
        <f>RegionSummary[[#This Row],[Revenue]]-RegionSummary[[#This Row],[Expenses]]</f>
        <v>-279790.06000000029</v>
      </c>
      <c r="E14" s="17">
        <f>IFERROR(RegionSummary[[#This Row],[Net Income]]/RegionSummary[[#This Row],[Revenue]],0)</f>
        <v>-0.29216137027924149</v>
      </c>
      <c r="G14" t="s">
        <v>10</v>
      </c>
      <c r="H14" s="16">
        <f>SUMIFS(Q1Forecast[Forecast Revenue],Q1Forecast[Category],CategorySummary[[#This Row],[Category]])</f>
        <v>691413.8</v>
      </c>
      <c r="I14" s="16">
        <f>SUMIFS(Q1Forecast[Total Expenses],Q1Forecast[Category],CategorySummary[[#This Row],[Category]])</f>
        <v>751136.14</v>
      </c>
      <c r="J14" s="17">
        <f>IFERROR((CategorySummary[[#This Row],[Revenue]]-CategorySummary[[#This Row],[Expenses]])/CategorySummary[[#This Row],[Revenue]],0)</f>
        <v>-8.6377130453572037E-2</v>
      </c>
    </row>
    <row r="15" spans="1:12" x14ac:dyDescent="0.45">
      <c r="A15" t="s">
        <v>17</v>
      </c>
      <c r="B15" s="16">
        <f>SUMIFS(Q1Forecast[Forecast Revenue],Q1Forecast[Region],RegionSummary[[#This Row],[Region]])</f>
        <v>1152175</v>
      </c>
      <c r="C15" s="16">
        <f>SUMIFS(Q1Forecast[Total Expenses],Q1Forecast[Region],RegionSummary[[#This Row],[Region]])</f>
        <v>1146561.26</v>
      </c>
      <c r="D15" s="16">
        <f>RegionSummary[[#This Row],[Revenue]]-RegionSummary[[#This Row],[Expenses]]</f>
        <v>5613.7399999999907</v>
      </c>
      <c r="E15" s="17">
        <f>IFERROR(RegionSummary[[#This Row],[Net Income]]/RegionSummary[[#This Row],[Revenue]],0)</f>
        <v>4.8722980450018362E-3</v>
      </c>
      <c r="G15" t="s">
        <v>21</v>
      </c>
      <c r="H15" s="16">
        <f>SUMIFS(Q1Forecast[Forecast Revenue],Q1Forecast[Category],CategorySummary[[#This Row],[Category]])</f>
        <v>568848.04999999993</v>
      </c>
      <c r="I15" s="16">
        <f>SUMIFS(Q1Forecast[Total Expenses],Q1Forecast[Category],CategorySummary[[#This Row],[Category]])</f>
        <v>747016.6</v>
      </c>
      <c r="J15" s="17">
        <f>IFERROR((CategorySummary[[#This Row],[Revenue]]-CategorySummary[[#This Row],[Expenses]])/CategorySummary[[#This Row],[Revenue]],0)</f>
        <v>-0.31320938869351855</v>
      </c>
    </row>
    <row r="16" spans="1:12" x14ac:dyDescent="0.45">
      <c r="A16" t="s">
        <v>19</v>
      </c>
      <c r="B16" s="16">
        <f>SUMIFS(Q1Forecast[Forecast Revenue],Q1Forecast[Region],RegionSummary[[#This Row],[Region]])</f>
        <v>987153.45</v>
      </c>
      <c r="C16" s="16">
        <f>SUMIFS(Q1Forecast[Total Expenses],Q1Forecast[Region],RegionSummary[[#This Row],[Region]])</f>
        <v>1420970.0200000003</v>
      </c>
      <c r="D16" s="16">
        <f>RegionSummary[[#This Row],[Revenue]]-RegionSummary[[#This Row],[Expenses]]</f>
        <v>-433816.5700000003</v>
      </c>
      <c r="E16" s="17">
        <f>IFERROR(RegionSummary[[#This Row],[Net Income]]/RegionSummary[[#This Row],[Revenue]],0)</f>
        <v>-0.43946214238525966</v>
      </c>
      <c r="G16" t="s">
        <v>22</v>
      </c>
      <c r="H16" s="16">
        <f>SUMIFS(Q1Forecast[Forecast Revenue],Q1Forecast[Category],CategorySummary[[#This Row],[Category]])</f>
        <v>619321.89999999991</v>
      </c>
      <c r="I16" s="16">
        <f>SUMIFS(Q1Forecast[Total Expenses],Q1Forecast[Category],CategorySummary[[#This Row],[Category]])</f>
        <v>721192.56</v>
      </c>
      <c r="J16" s="17">
        <f>IFERROR((CategorySummary[[#This Row],[Revenue]]-CategorySummary[[#This Row],[Expenses]])/CategorySummary[[#This Row],[Revenue]],0)</f>
        <v>-0.16448741760948574</v>
      </c>
    </row>
    <row r="17" spans="7:10" x14ac:dyDescent="0.45">
      <c r="G17" t="s">
        <v>23</v>
      </c>
      <c r="H17" s="16">
        <f>SUMIFS(Q1Forecast[Forecast Revenue],Q1Forecast[Category],CategorySummary[[#This Row],[Category]])</f>
        <v>592111.70000000007</v>
      </c>
      <c r="I17" s="16">
        <f>SUMIFS(Q1Forecast[Total Expenses],Q1Forecast[Category],CategorySummary[[#This Row],[Category]])</f>
        <v>794132.58000000007</v>
      </c>
      <c r="J17" s="17">
        <f>IFERROR((CategorySummary[[#This Row],[Revenue]]-CategorySummary[[#This Row],[Expenses]])/CategorySummary[[#This Row],[Revenue]],0)</f>
        <v>-0.34118711047256789</v>
      </c>
    </row>
    <row r="18" spans="7:10" x14ac:dyDescent="0.45">
      <c r="G18" t="s">
        <v>24</v>
      </c>
      <c r="H18" s="16">
        <f>SUMIFS(Q1Forecast[Forecast Revenue],Q1Forecast[Category],CategorySummary[[#This Row],[Category]])</f>
        <v>625288.89999999991</v>
      </c>
      <c r="I18" s="16">
        <f>SUMIFS(Q1Forecast[Total Expenses],Q1Forecast[Category],CategorySummary[[#This Row],[Category]])</f>
        <v>791499.3600000001</v>
      </c>
      <c r="J18" s="17">
        <f>IFERROR((CategorySummary[[#This Row],[Revenue]]-CategorySummary[[#This Row],[Expenses]])/CategorySummary[[#This Row],[Revenue]],0)</f>
        <v>-0.26581386619848879</v>
      </c>
    </row>
    <row r="37" spans="1:12" ht="15.75" x14ac:dyDescent="0.45">
      <c r="A37" s="8" t="s">
        <v>60</v>
      </c>
      <c r="B37" s="8"/>
      <c r="C37" s="8"/>
      <c r="D37" s="8"/>
      <c r="E37" s="8"/>
      <c r="F37" s="8"/>
      <c r="H37" s="8" t="s">
        <v>61</v>
      </c>
      <c r="I37" s="8"/>
      <c r="J37" s="8"/>
      <c r="K37" s="8"/>
      <c r="L37" s="8"/>
    </row>
    <row r="38" spans="1:12" x14ac:dyDescent="0.45">
      <c r="A38" t="s">
        <v>62</v>
      </c>
      <c r="B38" t="s">
        <v>63</v>
      </c>
      <c r="C38" t="s">
        <v>64</v>
      </c>
      <c r="D38" t="s">
        <v>65</v>
      </c>
      <c r="E38" t="s">
        <v>66</v>
      </c>
      <c r="F38" t="s">
        <v>67</v>
      </c>
      <c r="H38" s="15" t="s">
        <v>73</v>
      </c>
      <c r="I38" s="15"/>
      <c r="J38" s="15"/>
      <c r="K38" s="15"/>
      <c r="L38" s="15"/>
    </row>
    <row r="39" spans="1:12" x14ac:dyDescent="0.45">
      <c r="A39" t="s">
        <v>68</v>
      </c>
      <c r="B39" s="16">
        <f>SUM(Q4Forecast[Projected Expenses])</f>
        <v>1986804</v>
      </c>
      <c r="C39" s="16">
        <f>SUM(Q1Forecast[Base Other Expenses])</f>
        <v>1986804.0000000002</v>
      </c>
      <c r="D39" s="16">
        <f>SavingsPlan[[#This Row],[Scenario Q1]]-SavingsPlan[[#This Row],[Baseline Q1]]</f>
        <v>0</v>
      </c>
      <c r="E39" s="17">
        <v>0.03</v>
      </c>
      <c r="F39" s="16">
        <f>SavingsPlan[[#This Row],[Scenario Q1]]*SavingsPlan[[#This Row],[Target Saving %]]</f>
        <v>59604.12</v>
      </c>
      <c r="H39" s="3" t="s">
        <v>74</v>
      </c>
      <c r="I39" s="3"/>
      <c r="J39" s="3"/>
      <c r="K39" s="3"/>
      <c r="L39" s="3"/>
    </row>
    <row r="40" spans="1:12" x14ac:dyDescent="0.45">
      <c r="A40" t="s">
        <v>69</v>
      </c>
      <c r="B40" s="16">
        <f>SUM(Q4Forecast[Supply Chain Cost])</f>
        <v>711234</v>
      </c>
      <c r="C40" s="16">
        <f>SUM(Q1Forecast[Forecast Supply Chain])</f>
        <v>782357.4</v>
      </c>
      <c r="D40" s="16">
        <f>SavingsPlan[[#This Row],[Scenario Q1]]-SavingsPlan[[#This Row],[Baseline Q1]]</f>
        <v>71123.400000000023</v>
      </c>
      <c r="E40" s="17">
        <v>0.05</v>
      </c>
      <c r="F40" s="16">
        <f>SavingsPlan[[#This Row],[Scenario Q1]]*SavingsPlan[[#This Row],[Target Saving %]]</f>
        <v>39117.870000000003</v>
      </c>
      <c r="H40" s="14" t="s">
        <v>75</v>
      </c>
      <c r="I40" s="14"/>
      <c r="J40" s="14"/>
      <c r="K40" s="14"/>
      <c r="L40" s="14"/>
    </row>
    <row r="41" spans="1:12" x14ac:dyDescent="0.45">
      <c r="A41" t="s">
        <v>70</v>
      </c>
      <c r="B41" s="16">
        <f>SUM(Q4Forecast[Marketing Cost])</f>
        <v>415224</v>
      </c>
      <c r="C41" s="16">
        <f>SUM(Q1Forecast[Forecast Marketing])</f>
        <v>448441.92000000004</v>
      </c>
      <c r="D41" s="16">
        <f>SavingsPlan[[#This Row],[Scenario Q1]]-SavingsPlan[[#This Row],[Baseline Q1]]</f>
        <v>33217.920000000042</v>
      </c>
      <c r="E41" s="17">
        <v>0.08</v>
      </c>
      <c r="F41" s="16">
        <f>SavingsPlan[[#This Row],[Scenario Q1]]*SavingsPlan[[#This Row],[Target Saving %]]</f>
        <v>35875.353600000002</v>
      </c>
      <c r="H41" s="14" t="s">
        <v>76</v>
      </c>
      <c r="I41" s="14"/>
      <c r="J41" s="14"/>
      <c r="K41" s="14"/>
      <c r="L41" s="14"/>
    </row>
    <row r="42" spans="1:12" x14ac:dyDescent="0.45">
      <c r="A42" t="s">
        <v>71</v>
      </c>
      <c r="B42" s="16">
        <f>SUM(Q4Forecast[Labor Cost])</f>
        <v>524441</v>
      </c>
      <c r="C42" s="16">
        <f>SUM(Q1Forecast[Forecast Labor])</f>
        <v>587373.92000000004</v>
      </c>
      <c r="D42" s="16">
        <f>SavingsPlan[[#This Row],[Scenario Q1]]-SavingsPlan[[#This Row],[Baseline Q1]]</f>
        <v>62932.920000000042</v>
      </c>
      <c r="E42" s="17">
        <v>0.06</v>
      </c>
      <c r="F42" s="16">
        <f>SavingsPlan[[#This Row],[Scenario Q1]]*SavingsPlan[[#This Row],[Target Saving %]]</f>
        <v>35242.4352</v>
      </c>
      <c r="H42" s="14" t="s">
        <v>77</v>
      </c>
      <c r="I42" s="14"/>
      <c r="J42" s="14"/>
      <c r="K42" s="14"/>
      <c r="L42" s="14"/>
    </row>
    <row r="43" spans="1:12" x14ac:dyDescent="0.45">
      <c r="A43" t="s">
        <v>72</v>
      </c>
      <c r="B43" s="16">
        <f>SUM(B39:B42)</f>
        <v>3637703</v>
      </c>
      <c r="C43" s="16">
        <f>SUM(C39:C42)</f>
        <v>3804977.24</v>
      </c>
      <c r="D43" s="16">
        <f>SUM(D39:D42)</f>
        <v>167274.24000000011</v>
      </c>
      <c r="E43" s="17"/>
      <c r="F43" s="16">
        <f>SUM(F39:F42)</f>
        <v>169839.77880000003</v>
      </c>
      <c r="H43" s="14" t="s">
        <v>78</v>
      </c>
      <c r="I43" s="14"/>
      <c r="J43" s="14"/>
      <c r="K43" s="14"/>
      <c r="L43" s="14"/>
    </row>
  </sheetData>
  <mergeCells count="21">
    <mergeCell ref="H39:L39"/>
    <mergeCell ref="H40:L40"/>
    <mergeCell ref="H41:L41"/>
    <mergeCell ref="H42:L42"/>
    <mergeCell ref="H43:L43"/>
    <mergeCell ref="A8:L10"/>
    <mergeCell ref="A12:E12"/>
    <mergeCell ref="G12:L12"/>
    <mergeCell ref="A37:F37"/>
    <mergeCell ref="H37:L37"/>
    <mergeCell ref="H38:L38"/>
    <mergeCell ref="A1:L1"/>
    <mergeCell ref="A2:L2"/>
    <mergeCell ref="A4:C4"/>
    <mergeCell ref="A5:C6"/>
    <mergeCell ref="D4:F4"/>
    <mergeCell ref="D5:F6"/>
    <mergeCell ref="G4:I4"/>
    <mergeCell ref="G5:I6"/>
    <mergeCell ref="J4:L4"/>
    <mergeCell ref="J5:L6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53C7-8CEB-46DC-9482-297FF46FAACB}">
  <dimension ref="A1:N49"/>
  <sheetViews>
    <sheetView topLeftCell="A4" workbookViewId="0">
      <selection sqref="A1:N1"/>
    </sheetView>
  </sheetViews>
  <sheetFormatPr defaultRowHeight="14.25" x14ac:dyDescent="0.45"/>
  <cols>
    <col min="1" max="3" width="16.86328125" customWidth="1"/>
    <col min="4" max="11" width="16.33203125" style="16" customWidth="1"/>
    <col min="12" max="12" width="16.33203125" style="17" customWidth="1"/>
    <col min="13" max="13" width="16.33203125" customWidth="1"/>
    <col min="14" max="14" width="35.53125" style="20" customWidth="1"/>
  </cols>
  <sheetData>
    <row r="1" spans="1:14" ht="23.25" x14ac:dyDescent="0.45">
      <c r="A1" s="9" t="s">
        <v>34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45">
      <c r="A2" s="10" t="s">
        <v>35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x14ac:dyDescent="0.45">
      <c r="A4" t="s">
        <v>0</v>
      </c>
      <c r="B4" t="s">
        <v>1</v>
      </c>
      <c r="C4" t="s">
        <v>2</v>
      </c>
      <c r="D4" s="16" t="s">
        <v>36</v>
      </c>
      <c r="E4" s="16" t="s">
        <v>37</v>
      </c>
      <c r="F4" s="16" t="s">
        <v>38</v>
      </c>
      <c r="G4" s="16" t="s">
        <v>39</v>
      </c>
      <c r="H4" s="16" t="s">
        <v>40</v>
      </c>
      <c r="I4" s="16" t="s">
        <v>41</v>
      </c>
      <c r="J4" s="16" t="s">
        <v>42</v>
      </c>
      <c r="K4" s="16" t="s">
        <v>43</v>
      </c>
      <c r="L4" s="17" t="s">
        <v>44</v>
      </c>
      <c r="M4" t="s">
        <v>45</v>
      </c>
      <c r="N4" s="20" t="s">
        <v>46</v>
      </c>
    </row>
    <row r="5" spans="1:14" ht="28.5" x14ac:dyDescent="0.45">
      <c r="A5" t="s">
        <v>10</v>
      </c>
      <c r="B5" t="s">
        <v>11</v>
      </c>
      <c r="C5" t="s">
        <v>47</v>
      </c>
      <c r="D5" s="16">
        <f>AVERAGEIFS(Q4Forecast[Projected Revenue],Q4Forecast[Category],Q1Forecast[[#This Row],[Category]],Q4Forecast[Region],Q1Forecast[[#This Row],[Region]])</f>
        <v>76126</v>
      </c>
      <c r="E5" s="16">
        <f>Q1Forecast[[#This Row],[Base Revenue]]*(1+INDEX(ScenarioInputs[% Change],MATCH("Decrease Demand",ScenarioInputs[Scenario],0)))</f>
        <v>64707.1</v>
      </c>
      <c r="F5" s="16">
        <f>AVERAGEIFS(Q4Forecast[Projected Expenses],Q4Forecast[Category],Q1Forecast[[#This Row],[Category]],Q4Forecast[Region],Q1Forecast[[#This Row],[Region]])</f>
        <v>36029.333333333336</v>
      </c>
      <c r="G5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25544.933333333338</v>
      </c>
      <c r="H5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10746.36</v>
      </c>
      <c r="I5" s="16">
        <f>AVERAGEIFS(Q4Forecast[Labor Cost],Q4Forecast[Category],Q1Forecast[[#This Row],[Category]],Q4Forecast[Region],Q1Forecast[[#This Row],[Region]])*(1+INDEX(ScenarioInputs[% Change],MATCH("Labor Cost Surge",ScenarioInputs[Scenario],0)))</f>
        <v>12155.36</v>
      </c>
      <c r="J5" s="16">
        <f>SUM(Q1Forecast[[#This Row],[Base Other Expenses]]:Q1Forecast[[#This Row],[Forecast Labor]])</f>
        <v>84475.986666666679</v>
      </c>
      <c r="K5" s="16">
        <f>Q1Forecast[[#This Row],[Forecast Revenue]]-Q1Forecast[[#This Row],[Total Expenses]]</f>
        <v>-19768.88666666668</v>
      </c>
      <c r="L5" s="17">
        <f>IFERROR(Q1Forecast[[#This Row],[Net Income]]/Q1Forecast[[#This Row],[Forecast Revenue]],0)</f>
        <v>-0.30551340836889124</v>
      </c>
      <c r="M5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5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6" spans="1:14" ht="28.5" x14ac:dyDescent="0.45">
      <c r="A6" t="s">
        <v>10</v>
      </c>
      <c r="B6" t="s">
        <v>11</v>
      </c>
      <c r="C6" t="s">
        <v>48</v>
      </c>
      <c r="D6" s="16">
        <f>AVERAGEIFS(Q4Forecast[Projected Revenue],Q4Forecast[Category],Q1Forecast[[#This Row],[Category]],Q4Forecast[Region],Q1Forecast[[#This Row],[Region]])</f>
        <v>76126</v>
      </c>
      <c r="E6" s="16">
        <f>Q1Forecast[[#This Row],[Base Revenue]]*(1+INDEX(ScenarioInputs[% Change],MATCH("Decrease Demand",ScenarioInputs[Scenario],0)))</f>
        <v>64707.1</v>
      </c>
      <c r="F6" s="16">
        <f>AVERAGEIFS(Q4Forecast[Projected Expenses],Q4Forecast[Category],Q1Forecast[[#This Row],[Category]],Q4Forecast[Region],Q1Forecast[[#This Row],[Region]])</f>
        <v>36029.333333333336</v>
      </c>
      <c r="G6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25544.933333333338</v>
      </c>
      <c r="H6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10746.36</v>
      </c>
      <c r="I6" s="16">
        <f>AVERAGEIFS(Q4Forecast[Labor Cost],Q4Forecast[Category],Q1Forecast[[#This Row],[Category]],Q4Forecast[Region],Q1Forecast[[#This Row],[Region]])*(1+INDEX(ScenarioInputs[% Change],MATCH("Labor Cost Surge",ScenarioInputs[Scenario],0)))</f>
        <v>12155.36</v>
      </c>
      <c r="J6" s="16">
        <f>SUM(Q1Forecast[[#This Row],[Base Other Expenses]]:Q1Forecast[[#This Row],[Forecast Labor]])</f>
        <v>84475.986666666679</v>
      </c>
      <c r="K6" s="16">
        <f>Q1Forecast[[#This Row],[Forecast Revenue]]-Q1Forecast[[#This Row],[Total Expenses]]</f>
        <v>-19768.88666666668</v>
      </c>
      <c r="L6" s="17">
        <f>IFERROR(Q1Forecast[[#This Row],[Net Income]]/Q1Forecast[[#This Row],[Forecast Revenue]],0)</f>
        <v>-0.30551340836889124</v>
      </c>
      <c r="M6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6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7" spans="1:14" ht="28.5" x14ac:dyDescent="0.45">
      <c r="A7" t="s">
        <v>10</v>
      </c>
      <c r="B7" t="s">
        <v>11</v>
      </c>
      <c r="C7" t="s">
        <v>49</v>
      </c>
      <c r="D7" s="16">
        <f>AVERAGEIFS(Q4Forecast[Projected Revenue],Q4Forecast[Category],Q1Forecast[[#This Row],[Category]],Q4Forecast[Region],Q1Forecast[[#This Row],[Region]])</f>
        <v>76126</v>
      </c>
      <c r="E7" s="16">
        <f>Q1Forecast[[#This Row],[Base Revenue]]*(1+INDEX(ScenarioInputs[% Change],MATCH("Decrease Demand",ScenarioInputs[Scenario],0)))</f>
        <v>64707.1</v>
      </c>
      <c r="F7" s="16">
        <f>AVERAGEIFS(Q4Forecast[Projected Expenses],Q4Forecast[Category],Q1Forecast[[#This Row],[Category]],Q4Forecast[Region],Q1Forecast[[#This Row],[Region]])</f>
        <v>36029.333333333336</v>
      </c>
      <c r="G7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25544.933333333338</v>
      </c>
      <c r="H7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10746.36</v>
      </c>
      <c r="I7" s="16">
        <f>AVERAGEIFS(Q4Forecast[Labor Cost],Q4Forecast[Category],Q1Forecast[[#This Row],[Category]],Q4Forecast[Region],Q1Forecast[[#This Row],[Region]])*(1+INDEX(ScenarioInputs[% Change],MATCH("Labor Cost Surge",ScenarioInputs[Scenario],0)))</f>
        <v>12155.36</v>
      </c>
      <c r="J7" s="16">
        <f>SUM(Q1Forecast[[#This Row],[Base Other Expenses]]:Q1Forecast[[#This Row],[Forecast Labor]])</f>
        <v>84475.986666666679</v>
      </c>
      <c r="K7" s="16">
        <f>Q1Forecast[[#This Row],[Forecast Revenue]]-Q1Forecast[[#This Row],[Total Expenses]]</f>
        <v>-19768.88666666668</v>
      </c>
      <c r="L7" s="17">
        <f>IFERROR(Q1Forecast[[#This Row],[Net Income]]/Q1Forecast[[#This Row],[Forecast Revenue]],0)</f>
        <v>-0.30551340836889124</v>
      </c>
      <c r="M7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7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8" spans="1:14" x14ac:dyDescent="0.45">
      <c r="A8" t="s">
        <v>10</v>
      </c>
      <c r="B8" t="s">
        <v>17</v>
      </c>
      <c r="C8" t="s">
        <v>47</v>
      </c>
      <c r="D8" s="16">
        <f>AVERAGEIFS(Q4Forecast[Projected Revenue],Q4Forecast[Category],Q1Forecast[[#This Row],[Category]],Q4Forecast[Region],Q1Forecast[[#This Row],[Region]])</f>
        <v>104588.33333333333</v>
      </c>
      <c r="E8" s="16">
        <f>Q1Forecast[[#This Row],[Base Revenue]]*(1+INDEX(ScenarioInputs[% Change],MATCH("Decrease Demand",ScenarioInputs[Scenario],0)))</f>
        <v>88900.083333333328</v>
      </c>
      <c r="F8" s="16">
        <f>AVERAGEIFS(Q4Forecast[Projected Expenses],Q4Forecast[Category],Q1Forecast[[#This Row],[Category]],Q4Forecast[Region],Q1Forecast[[#This Row],[Region]])</f>
        <v>38589.666666666664</v>
      </c>
      <c r="G8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11164.633333333333</v>
      </c>
      <c r="H8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7014.96</v>
      </c>
      <c r="I8" s="16">
        <f>AVERAGEIFS(Q4Forecast[Labor Cost],Q4Forecast[Category],Q1Forecast[[#This Row],[Category]],Q4Forecast[Region],Q1Forecast[[#This Row],[Region]])*(1+INDEX(ScenarioInputs[% Change],MATCH("Labor Cost Surge",ScenarioInputs[Scenario],0)))</f>
        <v>12362.186666666666</v>
      </c>
      <c r="J8" s="16">
        <f>SUM(Q1Forecast[[#This Row],[Base Other Expenses]]:Q1Forecast[[#This Row],[Forecast Labor]])</f>
        <v>69131.446666666656</v>
      </c>
      <c r="K8" s="16">
        <f>Q1Forecast[[#This Row],[Forecast Revenue]]-Q1Forecast[[#This Row],[Total Expenses]]</f>
        <v>19768.636666666673</v>
      </c>
      <c r="L8" s="17">
        <f>IFERROR(Q1Forecast[[#This Row],[Net Income]]/Q1Forecast[[#This Row],[Forecast Revenue]],0)</f>
        <v>0.22236915788417905</v>
      </c>
      <c r="M8" t="str">
        <f>IF(Q1Forecast[[#This Row],[Total Expenses]]&gt;Q1Forecast[[#This Row],[Forecast Revenue]],"Overspend",IF(Q1Forecast[[#This Row],[Total Expenses]]/Q1Forecast[[#This Row],[Forecast Revenue]]&gt;=0.85,"Watch","Controlled"))</f>
        <v>Controlled</v>
      </c>
      <c r="N8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9" spans="1:14" x14ac:dyDescent="0.45">
      <c r="A9" t="s">
        <v>10</v>
      </c>
      <c r="B9" t="s">
        <v>17</v>
      </c>
      <c r="C9" t="s">
        <v>48</v>
      </c>
      <c r="D9" s="16">
        <f>AVERAGEIFS(Q4Forecast[Projected Revenue],Q4Forecast[Category],Q1Forecast[[#This Row],[Category]],Q4Forecast[Region],Q1Forecast[[#This Row],[Region]])</f>
        <v>104588.33333333333</v>
      </c>
      <c r="E9" s="16">
        <f>Q1Forecast[[#This Row],[Base Revenue]]*(1+INDEX(ScenarioInputs[% Change],MATCH("Decrease Demand",ScenarioInputs[Scenario],0)))</f>
        <v>88900.083333333328</v>
      </c>
      <c r="F9" s="16">
        <f>AVERAGEIFS(Q4Forecast[Projected Expenses],Q4Forecast[Category],Q1Forecast[[#This Row],[Category]],Q4Forecast[Region],Q1Forecast[[#This Row],[Region]])</f>
        <v>38589.666666666664</v>
      </c>
      <c r="G9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11164.633333333333</v>
      </c>
      <c r="H9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7014.96</v>
      </c>
      <c r="I9" s="16">
        <f>AVERAGEIFS(Q4Forecast[Labor Cost],Q4Forecast[Category],Q1Forecast[[#This Row],[Category]],Q4Forecast[Region],Q1Forecast[[#This Row],[Region]])*(1+INDEX(ScenarioInputs[% Change],MATCH("Labor Cost Surge",ScenarioInputs[Scenario],0)))</f>
        <v>12362.186666666666</v>
      </c>
      <c r="J9" s="16">
        <f>SUM(Q1Forecast[[#This Row],[Base Other Expenses]]:Q1Forecast[[#This Row],[Forecast Labor]])</f>
        <v>69131.446666666656</v>
      </c>
      <c r="K9" s="16">
        <f>Q1Forecast[[#This Row],[Forecast Revenue]]-Q1Forecast[[#This Row],[Total Expenses]]</f>
        <v>19768.636666666673</v>
      </c>
      <c r="L9" s="17">
        <f>IFERROR(Q1Forecast[[#This Row],[Net Income]]/Q1Forecast[[#This Row],[Forecast Revenue]],0)</f>
        <v>0.22236915788417905</v>
      </c>
      <c r="M9" t="str">
        <f>IF(Q1Forecast[[#This Row],[Total Expenses]]&gt;Q1Forecast[[#This Row],[Forecast Revenue]],"Overspend",IF(Q1Forecast[[#This Row],[Total Expenses]]/Q1Forecast[[#This Row],[Forecast Revenue]]&gt;=0.85,"Watch","Controlled"))</f>
        <v>Controlled</v>
      </c>
      <c r="N9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10" spans="1:14" x14ac:dyDescent="0.45">
      <c r="A10" t="s">
        <v>10</v>
      </c>
      <c r="B10" t="s">
        <v>17</v>
      </c>
      <c r="C10" t="s">
        <v>49</v>
      </c>
      <c r="D10" s="16">
        <f>AVERAGEIFS(Q4Forecast[Projected Revenue],Q4Forecast[Category],Q1Forecast[[#This Row],[Category]],Q4Forecast[Region],Q1Forecast[[#This Row],[Region]])</f>
        <v>104588.33333333333</v>
      </c>
      <c r="E10" s="16">
        <f>Q1Forecast[[#This Row],[Base Revenue]]*(1+INDEX(ScenarioInputs[% Change],MATCH("Decrease Demand",ScenarioInputs[Scenario],0)))</f>
        <v>88900.083333333328</v>
      </c>
      <c r="F10" s="16">
        <f>AVERAGEIFS(Q4Forecast[Projected Expenses],Q4Forecast[Category],Q1Forecast[[#This Row],[Category]],Q4Forecast[Region],Q1Forecast[[#This Row],[Region]])</f>
        <v>38589.666666666664</v>
      </c>
      <c r="G10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11164.633333333333</v>
      </c>
      <c r="H10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7014.96</v>
      </c>
      <c r="I10" s="16">
        <f>AVERAGEIFS(Q4Forecast[Labor Cost],Q4Forecast[Category],Q1Forecast[[#This Row],[Category]],Q4Forecast[Region],Q1Forecast[[#This Row],[Region]])*(1+INDEX(ScenarioInputs[% Change],MATCH("Labor Cost Surge",ScenarioInputs[Scenario],0)))</f>
        <v>12362.186666666666</v>
      </c>
      <c r="J10" s="16">
        <f>SUM(Q1Forecast[[#This Row],[Base Other Expenses]]:Q1Forecast[[#This Row],[Forecast Labor]])</f>
        <v>69131.446666666656</v>
      </c>
      <c r="K10" s="16">
        <f>Q1Forecast[[#This Row],[Forecast Revenue]]-Q1Forecast[[#This Row],[Total Expenses]]</f>
        <v>19768.636666666673</v>
      </c>
      <c r="L10" s="17">
        <f>IFERROR(Q1Forecast[[#This Row],[Net Income]]/Q1Forecast[[#This Row],[Forecast Revenue]],0)</f>
        <v>0.22236915788417905</v>
      </c>
      <c r="M10" t="str">
        <f>IF(Q1Forecast[[#This Row],[Total Expenses]]&gt;Q1Forecast[[#This Row],[Forecast Revenue]],"Overspend",IF(Q1Forecast[[#This Row],[Total Expenses]]/Q1Forecast[[#This Row],[Forecast Revenue]]&gt;=0.85,"Watch","Controlled"))</f>
        <v>Controlled</v>
      </c>
      <c r="N10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11" spans="1:14" ht="28.5" x14ac:dyDescent="0.45">
      <c r="A11" t="s">
        <v>10</v>
      </c>
      <c r="B11" t="s">
        <v>19</v>
      </c>
      <c r="C11" t="s">
        <v>47</v>
      </c>
      <c r="D11" s="16">
        <f>AVERAGEIFS(Q4Forecast[Projected Revenue],Q4Forecast[Category],Q1Forecast[[#This Row],[Category]],Q4Forecast[Region],Q1Forecast[[#This Row],[Region]])</f>
        <v>90428.333333333328</v>
      </c>
      <c r="E11" s="16">
        <f>Q1Forecast[[#This Row],[Base Revenue]]*(1+INDEX(ScenarioInputs[% Change],MATCH("Decrease Demand",ScenarioInputs[Scenario],0)))</f>
        <v>76864.083333333328</v>
      </c>
      <c r="F11" s="16">
        <f>AVERAGEIFS(Q4Forecast[Projected Expenses],Q4Forecast[Category],Q1Forecast[[#This Row],[Category]],Q4Forecast[Region],Q1Forecast[[#This Row],[Region]])</f>
        <v>47304.666666666664</v>
      </c>
      <c r="G11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18995.533333333336</v>
      </c>
      <c r="H11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12066.12</v>
      </c>
      <c r="I11" s="16">
        <f>AVERAGEIFS(Q4Forecast[Labor Cost],Q4Forecast[Category],Q1Forecast[[#This Row],[Category]],Q4Forecast[Region],Q1Forecast[[#This Row],[Region]])*(1+INDEX(ScenarioInputs[% Change],MATCH("Labor Cost Surge",ScenarioInputs[Scenario],0)))</f>
        <v>18404.960000000003</v>
      </c>
      <c r="J11" s="16">
        <f>SUM(Q1Forecast[[#This Row],[Base Other Expenses]]:Q1Forecast[[#This Row],[Forecast Labor]])</f>
        <v>96771.28</v>
      </c>
      <c r="K11" s="16">
        <f>Q1Forecast[[#This Row],[Forecast Revenue]]-Q1Forecast[[#This Row],[Total Expenses]]</f>
        <v>-19907.19666666667</v>
      </c>
      <c r="L11" s="17">
        <f>IFERROR(Q1Forecast[[#This Row],[Net Income]]/Q1Forecast[[#This Row],[Forecast Revenue]],0)</f>
        <v>-0.25899218208764613</v>
      </c>
      <c r="M11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1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2" spans="1:14" ht="28.5" x14ac:dyDescent="0.45">
      <c r="A12" t="s">
        <v>10</v>
      </c>
      <c r="B12" t="s">
        <v>19</v>
      </c>
      <c r="C12" t="s">
        <v>48</v>
      </c>
      <c r="D12" s="16">
        <f>AVERAGEIFS(Q4Forecast[Projected Revenue],Q4Forecast[Category],Q1Forecast[[#This Row],[Category]],Q4Forecast[Region],Q1Forecast[[#This Row],[Region]])</f>
        <v>90428.333333333328</v>
      </c>
      <c r="E12" s="16">
        <f>Q1Forecast[[#This Row],[Base Revenue]]*(1+INDEX(ScenarioInputs[% Change],MATCH("Decrease Demand",ScenarioInputs[Scenario],0)))</f>
        <v>76864.083333333328</v>
      </c>
      <c r="F12" s="16">
        <f>AVERAGEIFS(Q4Forecast[Projected Expenses],Q4Forecast[Category],Q1Forecast[[#This Row],[Category]],Q4Forecast[Region],Q1Forecast[[#This Row],[Region]])</f>
        <v>47304.666666666664</v>
      </c>
      <c r="G12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18995.533333333336</v>
      </c>
      <c r="H12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12066.12</v>
      </c>
      <c r="I12" s="16">
        <f>AVERAGEIFS(Q4Forecast[Labor Cost],Q4Forecast[Category],Q1Forecast[[#This Row],[Category]],Q4Forecast[Region],Q1Forecast[[#This Row],[Region]])*(1+INDEX(ScenarioInputs[% Change],MATCH("Labor Cost Surge",ScenarioInputs[Scenario],0)))</f>
        <v>18404.960000000003</v>
      </c>
      <c r="J12" s="16">
        <f>SUM(Q1Forecast[[#This Row],[Base Other Expenses]]:Q1Forecast[[#This Row],[Forecast Labor]])</f>
        <v>96771.28</v>
      </c>
      <c r="K12" s="16">
        <f>Q1Forecast[[#This Row],[Forecast Revenue]]-Q1Forecast[[#This Row],[Total Expenses]]</f>
        <v>-19907.19666666667</v>
      </c>
      <c r="L12" s="17">
        <f>IFERROR(Q1Forecast[[#This Row],[Net Income]]/Q1Forecast[[#This Row],[Forecast Revenue]],0)</f>
        <v>-0.25899218208764613</v>
      </c>
      <c r="M12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2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3" spans="1:14" ht="28.5" x14ac:dyDescent="0.45">
      <c r="A13" t="s">
        <v>10</v>
      </c>
      <c r="B13" t="s">
        <v>19</v>
      </c>
      <c r="C13" t="s">
        <v>49</v>
      </c>
      <c r="D13" s="16">
        <f>AVERAGEIFS(Q4Forecast[Projected Revenue],Q4Forecast[Category],Q1Forecast[[#This Row],[Category]],Q4Forecast[Region],Q1Forecast[[#This Row],[Region]])</f>
        <v>90428.333333333328</v>
      </c>
      <c r="E13" s="16">
        <f>Q1Forecast[[#This Row],[Base Revenue]]*(1+INDEX(ScenarioInputs[% Change],MATCH("Decrease Demand",ScenarioInputs[Scenario],0)))</f>
        <v>76864.083333333328</v>
      </c>
      <c r="F13" s="16">
        <f>AVERAGEIFS(Q4Forecast[Projected Expenses],Q4Forecast[Category],Q1Forecast[[#This Row],[Category]],Q4Forecast[Region],Q1Forecast[[#This Row],[Region]])</f>
        <v>47304.666666666664</v>
      </c>
      <c r="G13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18995.533333333336</v>
      </c>
      <c r="H13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12066.12</v>
      </c>
      <c r="I13" s="16">
        <f>AVERAGEIFS(Q4Forecast[Labor Cost],Q4Forecast[Category],Q1Forecast[[#This Row],[Category]],Q4Forecast[Region],Q1Forecast[[#This Row],[Region]])*(1+INDEX(ScenarioInputs[% Change],MATCH("Labor Cost Surge",ScenarioInputs[Scenario],0)))</f>
        <v>18404.960000000003</v>
      </c>
      <c r="J13" s="16">
        <f>SUM(Q1Forecast[[#This Row],[Base Other Expenses]]:Q1Forecast[[#This Row],[Forecast Labor]])</f>
        <v>96771.28</v>
      </c>
      <c r="K13" s="16">
        <f>Q1Forecast[[#This Row],[Forecast Revenue]]-Q1Forecast[[#This Row],[Total Expenses]]</f>
        <v>-19907.19666666667</v>
      </c>
      <c r="L13" s="17">
        <f>IFERROR(Q1Forecast[[#This Row],[Net Income]]/Q1Forecast[[#This Row],[Forecast Revenue]],0)</f>
        <v>-0.25899218208764613</v>
      </c>
      <c r="M13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3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4" spans="1:14" ht="28.5" x14ac:dyDescent="0.45">
      <c r="A14" t="s">
        <v>21</v>
      </c>
      <c r="B14" t="s">
        <v>11</v>
      </c>
      <c r="C14" t="s">
        <v>47</v>
      </c>
      <c r="D14" s="16">
        <f>AVERAGEIFS(Q4Forecast[Projected Revenue],Q4Forecast[Category],Q1Forecast[[#This Row],[Category]],Q4Forecast[Region],Q1Forecast[[#This Row],[Region]])</f>
        <v>63667</v>
      </c>
      <c r="E14" s="16">
        <f>Q1Forecast[[#This Row],[Base Revenue]]*(1+INDEX(ScenarioInputs[% Change],MATCH("Decrease Demand",ScenarioInputs[Scenario],0)))</f>
        <v>54116.95</v>
      </c>
      <c r="F14" s="16">
        <f>AVERAGEIFS(Q4Forecast[Projected Expenses],Q4Forecast[Category],Q1Forecast[[#This Row],[Category]],Q4Forecast[Region],Q1Forecast[[#This Row],[Region]])</f>
        <v>27955</v>
      </c>
      <c r="G14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20159.7</v>
      </c>
      <c r="H14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13232.880000000001</v>
      </c>
      <c r="I14" s="16">
        <f>AVERAGEIFS(Q4Forecast[Labor Cost],Q4Forecast[Category],Q1Forecast[[#This Row],[Category]],Q4Forecast[Region],Q1Forecast[[#This Row],[Region]])*(1+INDEX(ScenarioInputs[% Change],MATCH("Labor Cost Surge",ScenarioInputs[Scenario],0)))</f>
        <v>17446.986666666668</v>
      </c>
      <c r="J14" s="16">
        <f>SUM(Q1Forecast[[#This Row],[Base Other Expenses]]:Q1Forecast[[#This Row],[Forecast Labor]])</f>
        <v>78794.566666666666</v>
      </c>
      <c r="K14" s="16">
        <f>Q1Forecast[[#This Row],[Forecast Revenue]]-Q1Forecast[[#This Row],[Total Expenses]]</f>
        <v>-24677.616666666669</v>
      </c>
      <c r="L14" s="17">
        <f>IFERROR(Q1Forecast[[#This Row],[Net Income]]/Q1Forecast[[#This Row],[Forecast Revenue]],0)</f>
        <v>-0.45600531195247829</v>
      </c>
      <c r="M14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4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5" spans="1:14" ht="28.5" x14ac:dyDescent="0.45">
      <c r="A15" t="s">
        <v>21</v>
      </c>
      <c r="B15" t="s">
        <v>11</v>
      </c>
      <c r="C15" t="s">
        <v>48</v>
      </c>
      <c r="D15" s="16">
        <f>AVERAGEIFS(Q4Forecast[Projected Revenue],Q4Forecast[Category],Q1Forecast[[#This Row],[Category]],Q4Forecast[Region],Q1Forecast[[#This Row],[Region]])</f>
        <v>63667</v>
      </c>
      <c r="E15" s="16">
        <f>Q1Forecast[[#This Row],[Base Revenue]]*(1+INDEX(ScenarioInputs[% Change],MATCH("Decrease Demand",ScenarioInputs[Scenario],0)))</f>
        <v>54116.95</v>
      </c>
      <c r="F15" s="16">
        <f>AVERAGEIFS(Q4Forecast[Projected Expenses],Q4Forecast[Category],Q1Forecast[[#This Row],[Category]],Q4Forecast[Region],Q1Forecast[[#This Row],[Region]])</f>
        <v>27955</v>
      </c>
      <c r="G15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20159.7</v>
      </c>
      <c r="H15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13232.880000000001</v>
      </c>
      <c r="I15" s="16">
        <f>AVERAGEIFS(Q4Forecast[Labor Cost],Q4Forecast[Category],Q1Forecast[[#This Row],[Category]],Q4Forecast[Region],Q1Forecast[[#This Row],[Region]])*(1+INDEX(ScenarioInputs[% Change],MATCH("Labor Cost Surge",ScenarioInputs[Scenario],0)))</f>
        <v>17446.986666666668</v>
      </c>
      <c r="J15" s="16">
        <f>SUM(Q1Forecast[[#This Row],[Base Other Expenses]]:Q1Forecast[[#This Row],[Forecast Labor]])</f>
        <v>78794.566666666666</v>
      </c>
      <c r="K15" s="16">
        <f>Q1Forecast[[#This Row],[Forecast Revenue]]-Q1Forecast[[#This Row],[Total Expenses]]</f>
        <v>-24677.616666666669</v>
      </c>
      <c r="L15" s="17">
        <f>IFERROR(Q1Forecast[[#This Row],[Net Income]]/Q1Forecast[[#This Row],[Forecast Revenue]],0)</f>
        <v>-0.45600531195247829</v>
      </c>
      <c r="M15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5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6" spans="1:14" ht="28.5" x14ac:dyDescent="0.45">
      <c r="A16" t="s">
        <v>21</v>
      </c>
      <c r="B16" t="s">
        <v>11</v>
      </c>
      <c r="C16" t="s">
        <v>49</v>
      </c>
      <c r="D16" s="16">
        <f>AVERAGEIFS(Q4Forecast[Projected Revenue],Q4Forecast[Category],Q1Forecast[[#This Row],[Category]],Q4Forecast[Region],Q1Forecast[[#This Row],[Region]])</f>
        <v>63667</v>
      </c>
      <c r="E16" s="16">
        <f>Q1Forecast[[#This Row],[Base Revenue]]*(1+INDEX(ScenarioInputs[% Change],MATCH("Decrease Demand",ScenarioInputs[Scenario],0)))</f>
        <v>54116.95</v>
      </c>
      <c r="F16" s="16">
        <f>AVERAGEIFS(Q4Forecast[Projected Expenses],Q4Forecast[Category],Q1Forecast[[#This Row],[Category]],Q4Forecast[Region],Q1Forecast[[#This Row],[Region]])</f>
        <v>27955</v>
      </c>
      <c r="G16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20159.7</v>
      </c>
      <c r="H16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13232.880000000001</v>
      </c>
      <c r="I16" s="16">
        <f>AVERAGEIFS(Q4Forecast[Labor Cost],Q4Forecast[Category],Q1Forecast[[#This Row],[Category]],Q4Forecast[Region],Q1Forecast[[#This Row],[Region]])*(1+INDEX(ScenarioInputs[% Change],MATCH("Labor Cost Surge",ScenarioInputs[Scenario],0)))</f>
        <v>17446.986666666668</v>
      </c>
      <c r="J16" s="16">
        <f>SUM(Q1Forecast[[#This Row],[Base Other Expenses]]:Q1Forecast[[#This Row],[Forecast Labor]])</f>
        <v>78794.566666666666</v>
      </c>
      <c r="K16" s="16">
        <f>Q1Forecast[[#This Row],[Forecast Revenue]]-Q1Forecast[[#This Row],[Total Expenses]]</f>
        <v>-24677.616666666669</v>
      </c>
      <c r="L16" s="17">
        <f>IFERROR(Q1Forecast[[#This Row],[Net Income]]/Q1Forecast[[#This Row],[Forecast Revenue]],0)</f>
        <v>-0.45600531195247829</v>
      </c>
      <c r="M16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6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7" spans="1:14" ht="28.5" x14ac:dyDescent="0.45">
      <c r="A17" t="s">
        <v>21</v>
      </c>
      <c r="B17" t="s">
        <v>17</v>
      </c>
      <c r="C17" t="s">
        <v>47</v>
      </c>
      <c r="D17" s="16">
        <f>AVERAGEIFS(Q4Forecast[Projected Revenue],Q4Forecast[Category],Q1Forecast[[#This Row],[Category]],Q4Forecast[Region],Q1Forecast[[#This Row],[Region]])</f>
        <v>83709.666666666672</v>
      </c>
      <c r="E17" s="16">
        <f>Q1Forecast[[#This Row],[Base Revenue]]*(1+INDEX(ScenarioInputs[% Change],MATCH("Decrease Demand",ScenarioInputs[Scenario],0)))</f>
        <v>71153.216666666674</v>
      </c>
      <c r="F17" s="16">
        <f>AVERAGEIFS(Q4Forecast[Projected Expenses],Q4Forecast[Category],Q1Forecast[[#This Row],[Category]],Q4Forecast[Region],Q1Forecast[[#This Row],[Region]])</f>
        <v>38176.333333333336</v>
      </c>
      <c r="G17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13329.800000000001</v>
      </c>
      <c r="H17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10555.92</v>
      </c>
      <c r="I17" s="16">
        <f>AVERAGEIFS(Q4Forecast[Labor Cost],Q4Forecast[Category],Q1Forecast[[#This Row],[Category]],Q4Forecast[Region],Q1Forecast[[#This Row],[Region]])*(1+INDEX(ScenarioInputs[% Change],MATCH("Labor Cost Surge",ScenarioInputs[Scenario],0)))</f>
        <v>12689.226666666667</v>
      </c>
      <c r="J17" s="16">
        <f>SUM(Q1Forecast[[#This Row],[Base Other Expenses]]:Q1Forecast[[#This Row],[Forecast Labor]])</f>
        <v>74751.28</v>
      </c>
      <c r="K17" s="16">
        <f>Q1Forecast[[#This Row],[Forecast Revenue]]-Q1Forecast[[#This Row],[Total Expenses]]</f>
        <v>-3598.0633333333244</v>
      </c>
      <c r="L17" s="17">
        <f>IFERROR(Q1Forecast[[#This Row],[Net Income]]/Q1Forecast[[#This Row],[Forecast Revenue]],0)</f>
        <v>-5.0567823942370242E-2</v>
      </c>
      <c r="M17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7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8" spans="1:14" ht="28.5" x14ac:dyDescent="0.45">
      <c r="A18" t="s">
        <v>21</v>
      </c>
      <c r="B18" t="s">
        <v>17</v>
      </c>
      <c r="C18" t="s">
        <v>48</v>
      </c>
      <c r="D18" s="16">
        <f>AVERAGEIFS(Q4Forecast[Projected Revenue],Q4Forecast[Category],Q1Forecast[[#This Row],[Category]],Q4Forecast[Region],Q1Forecast[[#This Row],[Region]])</f>
        <v>83709.666666666672</v>
      </c>
      <c r="E18" s="16">
        <f>Q1Forecast[[#This Row],[Base Revenue]]*(1+INDEX(ScenarioInputs[% Change],MATCH("Decrease Demand",ScenarioInputs[Scenario],0)))</f>
        <v>71153.216666666674</v>
      </c>
      <c r="F18" s="16">
        <f>AVERAGEIFS(Q4Forecast[Projected Expenses],Q4Forecast[Category],Q1Forecast[[#This Row],[Category]],Q4Forecast[Region],Q1Forecast[[#This Row],[Region]])</f>
        <v>38176.333333333336</v>
      </c>
      <c r="G18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13329.800000000001</v>
      </c>
      <c r="H18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10555.92</v>
      </c>
      <c r="I18" s="16">
        <f>AVERAGEIFS(Q4Forecast[Labor Cost],Q4Forecast[Category],Q1Forecast[[#This Row],[Category]],Q4Forecast[Region],Q1Forecast[[#This Row],[Region]])*(1+INDEX(ScenarioInputs[% Change],MATCH("Labor Cost Surge",ScenarioInputs[Scenario],0)))</f>
        <v>12689.226666666667</v>
      </c>
      <c r="J18" s="16">
        <f>SUM(Q1Forecast[[#This Row],[Base Other Expenses]]:Q1Forecast[[#This Row],[Forecast Labor]])</f>
        <v>74751.28</v>
      </c>
      <c r="K18" s="16">
        <f>Q1Forecast[[#This Row],[Forecast Revenue]]-Q1Forecast[[#This Row],[Total Expenses]]</f>
        <v>-3598.0633333333244</v>
      </c>
      <c r="L18" s="17">
        <f>IFERROR(Q1Forecast[[#This Row],[Net Income]]/Q1Forecast[[#This Row],[Forecast Revenue]],0)</f>
        <v>-5.0567823942370242E-2</v>
      </c>
      <c r="M18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8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19" spans="1:14" ht="28.5" x14ac:dyDescent="0.45">
      <c r="A19" t="s">
        <v>21</v>
      </c>
      <c r="B19" t="s">
        <v>17</v>
      </c>
      <c r="C19" t="s">
        <v>49</v>
      </c>
      <c r="D19" s="16">
        <f>AVERAGEIFS(Q4Forecast[Projected Revenue],Q4Forecast[Category],Q1Forecast[[#This Row],[Category]],Q4Forecast[Region],Q1Forecast[[#This Row],[Region]])</f>
        <v>83709.666666666672</v>
      </c>
      <c r="E19" s="16">
        <f>Q1Forecast[[#This Row],[Base Revenue]]*(1+INDEX(ScenarioInputs[% Change],MATCH("Decrease Demand",ScenarioInputs[Scenario],0)))</f>
        <v>71153.216666666674</v>
      </c>
      <c r="F19" s="16">
        <f>AVERAGEIFS(Q4Forecast[Projected Expenses],Q4Forecast[Category],Q1Forecast[[#This Row],[Category]],Q4Forecast[Region],Q1Forecast[[#This Row],[Region]])</f>
        <v>38176.333333333336</v>
      </c>
      <c r="G19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13329.800000000001</v>
      </c>
      <c r="H19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10555.92</v>
      </c>
      <c r="I19" s="16">
        <f>AVERAGEIFS(Q4Forecast[Labor Cost],Q4Forecast[Category],Q1Forecast[[#This Row],[Category]],Q4Forecast[Region],Q1Forecast[[#This Row],[Region]])*(1+INDEX(ScenarioInputs[% Change],MATCH("Labor Cost Surge",ScenarioInputs[Scenario],0)))</f>
        <v>12689.226666666667</v>
      </c>
      <c r="J19" s="16">
        <f>SUM(Q1Forecast[[#This Row],[Base Other Expenses]]:Q1Forecast[[#This Row],[Forecast Labor]])</f>
        <v>74751.28</v>
      </c>
      <c r="K19" s="16">
        <f>Q1Forecast[[#This Row],[Forecast Revenue]]-Q1Forecast[[#This Row],[Total Expenses]]</f>
        <v>-3598.0633333333244</v>
      </c>
      <c r="L19" s="17">
        <f>IFERROR(Q1Forecast[[#This Row],[Net Income]]/Q1Forecast[[#This Row],[Forecast Revenue]],0)</f>
        <v>-5.0567823942370242E-2</v>
      </c>
      <c r="M19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19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20" spans="1:14" ht="28.5" x14ac:dyDescent="0.45">
      <c r="A20" t="s">
        <v>21</v>
      </c>
      <c r="B20" t="s">
        <v>19</v>
      </c>
      <c r="C20" t="s">
        <v>47</v>
      </c>
      <c r="D20" s="16">
        <f>AVERAGEIFS(Q4Forecast[Projected Revenue],Q4Forecast[Category],Q1Forecast[[#This Row],[Category]],Q4Forecast[Region],Q1Forecast[[#This Row],[Region]])</f>
        <v>75701</v>
      </c>
      <c r="E20" s="16">
        <f>Q1Forecast[[#This Row],[Base Revenue]]*(1+INDEX(ScenarioInputs[% Change],MATCH("Decrease Demand",ScenarioInputs[Scenario],0)))</f>
        <v>64345.85</v>
      </c>
      <c r="F20" s="16">
        <f>AVERAGEIFS(Q4Forecast[Projected Expenses],Q4Forecast[Category],Q1Forecast[[#This Row],[Category]],Q4Forecast[Region],Q1Forecast[[#This Row],[Region]])</f>
        <v>51883.666666666664</v>
      </c>
      <c r="G20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19336.166666666668</v>
      </c>
      <c r="H20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12245.400000000001</v>
      </c>
      <c r="I20" s="16">
        <f>AVERAGEIFS(Q4Forecast[Labor Cost],Q4Forecast[Category],Q1Forecast[[#This Row],[Category]],Q4Forecast[Region],Q1Forecast[[#This Row],[Region]])*(1+INDEX(ScenarioInputs[% Change],MATCH("Labor Cost Surge",ScenarioInputs[Scenario],0)))</f>
        <v>11994.453333333335</v>
      </c>
      <c r="J20" s="16">
        <f>SUM(Q1Forecast[[#This Row],[Base Other Expenses]]:Q1Forecast[[#This Row],[Forecast Labor]])</f>
        <v>95459.686666666676</v>
      </c>
      <c r="K20" s="16">
        <f>Q1Forecast[[#This Row],[Forecast Revenue]]-Q1Forecast[[#This Row],[Total Expenses]]</f>
        <v>-31113.836666666677</v>
      </c>
      <c r="L20" s="17">
        <f>IFERROR(Q1Forecast[[#This Row],[Net Income]]/Q1Forecast[[#This Row],[Forecast Revenue]],0)</f>
        <v>-0.48354068936328726</v>
      </c>
      <c r="M20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20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21" spans="1:14" ht="28.5" x14ac:dyDescent="0.45">
      <c r="A21" t="s">
        <v>21</v>
      </c>
      <c r="B21" t="s">
        <v>19</v>
      </c>
      <c r="C21" t="s">
        <v>48</v>
      </c>
      <c r="D21" s="16">
        <f>AVERAGEIFS(Q4Forecast[Projected Revenue],Q4Forecast[Category],Q1Forecast[[#This Row],[Category]],Q4Forecast[Region],Q1Forecast[[#This Row],[Region]])</f>
        <v>75701</v>
      </c>
      <c r="E21" s="16">
        <f>Q1Forecast[[#This Row],[Base Revenue]]*(1+INDEX(ScenarioInputs[% Change],MATCH("Decrease Demand",ScenarioInputs[Scenario],0)))</f>
        <v>64345.85</v>
      </c>
      <c r="F21" s="16">
        <f>AVERAGEIFS(Q4Forecast[Projected Expenses],Q4Forecast[Category],Q1Forecast[[#This Row],[Category]],Q4Forecast[Region],Q1Forecast[[#This Row],[Region]])</f>
        <v>51883.666666666664</v>
      </c>
      <c r="G21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19336.166666666668</v>
      </c>
      <c r="H21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12245.400000000001</v>
      </c>
      <c r="I21" s="16">
        <f>AVERAGEIFS(Q4Forecast[Labor Cost],Q4Forecast[Category],Q1Forecast[[#This Row],[Category]],Q4Forecast[Region],Q1Forecast[[#This Row],[Region]])*(1+INDEX(ScenarioInputs[% Change],MATCH("Labor Cost Surge",ScenarioInputs[Scenario],0)))</f>
        <v>11994.453333333335</v>
      </c>
      <c r="J21" s="16">
        <f>SUM(Q1Forecast[[#This Row],[Base Other Expenses]]:Q1Forecast[[#This Row],[Forecast Labor]])</f>
        <v>95459.686666666676</v>
      </c>
      <c r="K21" s="16">
        <f>Q1Forecast[[#This Row],[Forecast Revenue]]-Q1Forecast[[#This Row],[Total Expenses]]</f>
        <v>-31113.836666666677</v>
      </c>
      <c r="L21" s="17">
        <f>IFERROR(Q1Forecast[[#This Row],[Net Income]]/Q1Forecast[[#This Row],[Forecast Revenue]],0)</f>
        <v>-0.48354068936328726</v>
      </c>
      <c r="M21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21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22" spans="1:14" ht="28.5" x14ac:dyDescent="0.45">
      <c r="A22" t="s">
        <v>21</v>
      </c>
      <c r="B22" t="s">
        <v>19</v>
      </c>
      <c r="C22" t="s">
        <v>49</v>
      </c>
      <c r="D22" s="16">
        <f>AVERAGEIFS(Q4Forecast[Projected Revenue],Q4Forecast[Category],Q1Forecast[[#This Row],[Category]],Q4Forecast[Region],Q1Forecast[[#This Row],[Region]])</f>
        <v>75701</v>
      </c>
      <c r="E22" s="16">
        <f>Q1Forecast[[#This Row],[Base Revenue]]*(1+INDEX(ScenarioInputs[% Change],MATCH("Decrease Demand",ScenarioInputs[Scenario],0)))</f>
        <v>64345.85</v>
      </c>
      <c r="F22" s="16">
        <f>AVERAGEIFS(Q4Forecast[Projected Expenses],Q4Forecast[Category],Q1Forecast[[#This Row],[Category]],Q4Forecast[Region],Q1Forecast[[#This Row],[Region]])</f>
        <v>51883.666666666664</v>
      </c>
      <c r="G22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19336.166666666668</v>
      </c>
      <c r="H22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12245.400000000001</v>
      </c>
      <c r="I22" s="16">
        <f>AVERAGEIFS(Q4Forecast[Labor Cost],Q4Forecast[Category],Q1Forecast[[#This Row],[Category]],Q4Forecast[Region],Q1Forecast[[#This Row],[Region]])*(1+INDEX(ScenarioInputs[% Change],MATCH("Labor Cost Surge",ScenarioInputs[Scenario],0)))</f>
        <v>11994.453333333335</v>
      </c>
      <c r="J22" s="16">
        <f>SUM(Q1Forecast[[#This Row],[Base Other Expenses]]:Q1Forecast[[#This Row],[Forecast Labor]])</f>
        <v>95459.686666666676</v>
      </c>
      <c r="K22" s="16">
        <f>Q1Forecast[[#This Row],[Forecast Revenue]]-Q1Forecast[[#This Row],[Total Expenses]]</f>
        <v>-31113.836666666677</v>
      </c>
      <c r="L22" s="17">
        <f>IFERROR(Q1Forecast[[#This Row],[Net Income]]/Q1Forecast[[#This Row],[Forecast Revenue]],0)</f>
        <v>-0.48354068936328726</v>
      </c>
      <c r="M22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22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23" spans="1:14" ht="28.5" x14ac:dyDescent="0.45">
      <c r="A23" t="s">
        <v>22</v>
      </c>
      <c r="B23" t="s">
        <v>11</v>
      </c>
      <c r="C23" t="s">
        <v>47</v>
      </c>
      <c r="D23" s="16">
        <f>AVERAGEIFS(Q4Forecast[Projected Revenue],Q4Forecast[Category],Q1Forecast[[#This Row],[Category]],Q4Forecast[Region],Q1Forecast[[#This Row],[Region]])</f>
        <v>87030.333333333328</v>
      </c>
      <c r="E23" s="16">
        <f>Q1Forecast[[#This Row],[Base Revenue]]*(1+INDEX(ScenarioInputs[% Change],MATCH("Decrease Demand",ScenarioInputs[Scenario],0)))</f>
        <v>73975.783333333326</v>
      </c>
      <c r="F23" s="16">
        <f>AVERAGEIFS(Q4Forecast[Projected Expenses],Q4Forecast[Category],Q1Forecast[[#This Row],[Category]],Q4Forecast[Region],Q1Forecast[[#This Row],[Region]])</f>
        <v>32143.333333333332</v>
      </c>
      <c r="G23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23204.133333333335</v>
      </c>
      <c r="H23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8760.6</v>
      </c>
      <c r="I23" s="16">
        <f>AVERAGEIFS(Q4Forecast[Labor Cost],Q4Forecast[Category],Q1Forecast[[#This Row],[Category]],Q4Forecast[Region],Q1Forecast[[#This Row],[Region]])*(1+INDEX(ScenarioInputs[% Change],MATCH("Labor Cost Surge",ScenarioInputs[Scenario],0)))</f>
        <v>12165.813333333335</v>
      </c>
      <c r="J23" s="16">
        <f>SUM(Q1Forecast[[#This Row],[Base Other Expenses]]:Q1Forecast[[#This Row],[Forecast Labor]])</f>
        <v>76273.88</v>
      </c>
      <c r="K23" s="16">
        <f>Q1Forecast[[#This Row],[Forecast Revenue]]-Q1Forecast[[#This Row],[Total Expenses]]</f>
        <v>-2298.0966666666791</v>
      </c>
      <c r="L23" s="17">
        <f>IFERROR(Q1Forecast[[#This Row],[Net Income]]/Q1Forecast[[#This Row],[Forecast Revenue]],0)</f>
        <v>-3.106552662391561E-2</v>
      </c>
      <c r="M23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23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24" spans="1:14" ht="28.5" x14ac:dyDescent="0.45">
      <c r="A24" t="s">
        <v>22</v>
      </c>
      <c r="B24" t="s">
        <v>11</v>
      </c>
      <c r="C24" t="s">
        <v>48</v>
      </c>
      <c r="D24" s="16">
        <f>AVERAGEIFS(Q4Forecast[Projected Revenue],Q4Forecast[Category],Q1Forecast[[#This Row],[Category]],Q4Forecast[Region],Q1Forecast[[#This Row],[Region]])</f>
        <v>87030.333333333328</v>
      </c>
      <c r="E24" s="16">
        <f>Q1Forecast[[#This Row],[Base Revenue]]*(1+INDEX(ScenarioInputs[% Change],MATCH("Decrease Demand",ScenarioInputs[Scenario],0)))</f>
        <v>73975.783333333326</v>
      </c>
      <c r="F24" s="16">
        <f>AVERAGEIFS(Q4Forecast[Projected Expenses],Q4Forecast[Category],Q1Forecast[[#This Row],[Category]],Q4Forecast[Region],Q1Forecast[[#This Row],[Region]])</f>
        <v>32143.333333333332</v>
      </c>
      <c r="G24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23204.133333333335</v>
      </c>
      <c r="H24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8760.6</v>
      </c>
      <c r="I24" s="16">
        <f>AVERAGEIFS(Q4Forecast[Labor Cost],Q4Forecast[Category],Q1Forecast[[#This Row],[Category]],Q4Forecast[Region],Q1Forecast[[#This Row],[Region]])*(1+INDEX(ScenarioInputs[% Change],MATCH("Labor Cost Surge",ScenarioInputs[Scenario],0)))</f>
        <v>12165.813333333335</v>
      </c>
      <c r="J24" s="16">
        <f>SUM(Q1Forecast[[#This Row],[Base Other Expenses]]:Q1Forecast[[#This Row],[Forecast Labor]])</f>
        <v>76273.88</v>
      </c>
      <c r="K24" s="16">
        <f>Q1Forecast[[#This Row],[Forecast Revenue]]-Q1Forecast[[#This Row],[Total Expenses]]</f>
        <v>-2298.0966666666791</v>
      </c>
      <c r="L24" s="17">
        <f>IFERROR(Q1Forecast[[#This Row],[Net Income]]/Q1Forecast[[#This Row],[Forecast Revenue]],0)</f>
        <v>-3.106552662391561E-2</v>
      </c>
      <c r="M24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24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25" spans="1:14" ht="28.5" x14ac:dyDescent="0.45">
      <c r="A25" t="s">
        <v>22</v>
      </c>
      <c r="B25" t="s">
        <v>11</v>
      </c>
      <c r="C25" t="s">
        <v>49</v>
      </c>
      <c r="D25" s="16">
        <f>AVERAGEIFS(Q4Forecast[Projected Revenue],Q4Forecast[Category],Q1Forecast[[#This Row],[Category]],Q4Forecast[Region],Q1Forecast[[#This Row],[Region]])</f>
        <v>87030.333333333328</v>
      </c>
      <c r="E25" s="16">
        <f>Q1Forecast[[#This Row],[Base Revenue]]*(1+INDEX(ScenarioInputs[% Change],MATCH("Decrease Demand",ScenarioInputs[Scenario],0)))</f>
        <v>73975.783333333326</v>
      </c>
      <c r="F25" s="16">
        <f>AVERAGEIFS(Q4Forecast[Projected Expenses],Q4Forecast[Category],Q1Forecast[[#This Row],[Category]],Q4Forecast[Region],Q1Forecast[[#This Row],[Region]])</f>
        <v>32143.333333333332</v>
      </c>
      <c r="G25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23204.133333333335</v>
      </c>
      <c r="H25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8760.6</v>
      </c>
      <c r="I25" s="16">
        <f>AVERAGEIFS(Q4Forecast[Labor Cost],Q4Forecast[Category],Q1Forecast[[#This Row],[Category]],Q4Forecast[Region],Q1Forecast[[#This Row],[Region]])*(1+INDEX(ScenarioInputs[% Change],MATCH("Labor Cost Surge",ScenarioInputs[Scenario],0)))</f>
        <v>12165.813333333335</v>
      </c>
      <c r="J25" s="16">
        <f>SUM(Q1Forecast[[#This Row],[Base Other Expenses]]:Q1Forecast[[#This Row],[Forecast Labor]])</f>
        <v>76273.88</v>
      </c>
      <c r="K25" s="16">
        <f>Q1Forecast[[#This Row],[Forecast Revenue]]-Q1Forecast[[#This Row],[Total Expenses]]</f>
        <v>-2298.0966666666791</v>
      </c>
      <c r="L25" s="17">
        <f>IFERROR(Q1Forecast[[#This Row],[Net Income]]/Q1Forecast[[#This Row],[Forecast Revenue]],0)</f>
        <v>-3.106552662391561E-2</v>
      </c>
      <c r="M25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25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26" spans="1:14" x14ac:dyDescent="0.45">
      <c r="A26" t="s">
        <v>22</v>
      </c>
      <c r="B26" t="s">
        <v>17</v>
      </c>
      <c r="C26" t="s">
        <v>47</v>
      </c>
      <c r="D26" s="16">
        <f>AVERAGEIFS(Q4Forecast[Projected Revenue],Q4Forecast[Category],Q1Forecast[[#This Row],[Category]],Q4Forecast[Region],Q1Forecast[[#This Row],[Region]])</f>
        <v>90700.333333333328</v>
      </c>
      <c r="E26" s="16">
        <f>Q1Forecast[[#This Row],[Base Revenue]]*(1+INDEX(ScenarioInputs[% Change],MATCH("Decrease Demand",ScenarioInputs[Scenario],0)))</f>
        <v>77095.283333333326</v>
      </c>
      <c r="F26" s="16">
        <f>AVERAGEIFS(Q4Forecast[Projected Expenses],Q4Forecast[Category],Q1Forecast[[#This Row],[Category]],Q4Forecast[Region],Q1Forecast[[#This Row],[Region]])</f>
        <v>37819.333333333336</v>
      </c>
      <c r="G26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11034.1</v>
      </c>
      <c r="H26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11939.04</v>
      </c>
      <c r="I26" s="16">
        <f>AVERAGEIFS(Q4Forecast[Labor Cost],Q4Forecast[Category],Q1Forecast[[#This Row],[Category]],Q4Forecast[Region],Q1Forecast[[#This Row],[Region]])*(1+INDEX(ScenarioInputs[% Change],MATCH("Labor Cost Surge",ScenarioInputs[Scenario],0)))</f>
        <v>12265.866666666667</v>
      </c>
      <c r="J26" s="16">
        <f>SUM(Q1Forecast[[#This Row],[Base Other Expenses]]:Q1Forecast[[#This Row],[Forecast Labor]])</f>
        <v>73058.34</v>
      </c>
      <c r="K26" s="16">
        <f>Q1Forecast[[#This Row],[Forecast Revenue]]-Q1Forecast[[#This Row],[Total Expenses]]</f>
        <v>4036.9433333333291</v>
      </c>
      <c r="L26" s="17">
        <f>IFERROR(Q1Forecast[[#This Row],[Net Income]]/Q1Forecast[[#This Row],[Forecast Revenue]],0)</f>
        <v>5.2363039070483508E-2</v>
      </c>
      <c r="M26" t="str">
        <f>IF(Q1Forecast[[#This Row],[Total Expenses]]&gt;Q1Forecast[[#This Row],[Forecast Revenue]],"Overspend",IF(Q1Forecast[[#This Row],[Total Expenses]]/Q1Forecast[[#This Row],[Forecast Revenue]]&gt;=0.85,"Watch","Controlled"))</f>
        <v>Watch</v>
      </c>
      <c r="N26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27" spans="1:14" x14ac:dyDescent="0.45">
      <c r="A27" t="s">
        <v>22</v>
      </c>
      <c r="B27" t="s">
        <v>17</v>
      </c>
      <c r="C27" t="s">
        <v>48</v>
      </c>
      <c r="D27" s="16">
        <f>AVERAGEIFS(Q4Forecast[Projected Revenue],Q4Forecast[Category],Q1Forecast[[#This Row],[Category]],Q4Forecast[Region],Q1Forecast[[#This Row],[Region]])</f>
        <v>90700.333333333328</v>
      </c>
      <c r="E27" s="16">
        <f>Q1Forecast[[#This Row],[Base Revenue]]*(1+INDEX(ScenarioInputs[% Change],MATCH("Decrease Demand",ScenarioInputs[Scenario],0)))</f>
        <v>77095.283333333326</v>
      </c>
      <c r="F27" s="16">
        <f>AVERAGEIFS(Q4Forecast[Projected Expenses],Q4Forecast[Category],Q1Forecast[[#This Row],[Category]],Q4Forecast[Region],Q1Forecast[[#This Row],[Region]])</f>
        <v>37819.333333333336</v>
      </c>
      <c r="G27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11034.1</v>
      </c>
      <c r="H27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11939.04</v>
      </c>
      <c r="I27" s="16">
        <f>AVERAGEIFS(Q4Forecast[Labor Cost],Q4Forecast[Category],Q1Forecast[[#This Row],[Category]],Q4Forecast[Region],Q1Forecast[[#This Row],[Region]])*(1+INDEX(ScenarioInputs[% Change],MATCH("Labor Cost Surge",ScenarioInputs[Scenario],0)))</f>
        <v>12265.866666666667</v>
      </c>
      <c r="J27" s="16">
        <f>SUM(Q1Forecast[[#This Row],[Base Other Expenses]]:Q1Forecast[[#This Row],[Forecast Labor]])</f>
        <v>73058.34</v>
      </c>
      <c r="K27" s="16">
        <f>Q1Forecast[[#This Row],[Forecast Revenue]]-Q1Forecast[[#This Row],[Total Expenses]]</f>
        <v>4036.9433333333291</v>
      </c>
      <c r="L27" s="17">
        <f>IFERROR(Q1Forecast[[#This Row],[Net Income]]/Q1Forecast[[#This Row],[Forecast Revenue]],0)</f>
        <v>5.2363039070483508E-2</v>
      </c>
      <c r="M27" t="str">
        <f>IF(Q1Forecast[[#This Row],[Total Expenses]]&gt;Q1Forecast[[#This Row],[Forecast Revenue]],"Overspend",IF(Q1Forecast[[#This Row],[Total Expenses]]/Q1Forecast[[#This Row],[Forecast Revenue]]&gt;=0.85,"Watch","Controlled"))</f>
        <v>Watch</v>
      </c>
      <c r="N27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28" spans="1:14" x14ac:dyDescent="0.45">
      <c r="A28" t="s">
        <v>22</v>
      </c>
      <c r="B28" t="s">
        <v>17</v>
      </c>
      <c r="C28" t="s">
        <v>49</v>
      </c>
      <c r="D28" s="16">
        <f>AVERAGEIFS(Q4Forecast[Projected Revenue],Q4Forecast[Category],Q1Forecast[[#This Row],[Category]],Q4Forecast[Region],Q1Forecast[[#This Row],[Region]])</f>
        <v>90700.333333333328</v>
      </c>
      <c r="E28" s="16">
        <f>Q1Forecast[[#This Row],[Base Revenue]]*(1+INDEX(ScenarioInputs[% Change],MATCH("Decrease Demand",ScenarioInputs[Scenario],0)))</f>
        <v>77095.283333333326</v>
      </c>
      <c r="F28" s="16">
        <f>AVERAGEIFS(Q4Forecast[Projected Expenses],Q4Forecast[Category],Q1Forecast[[#This Row],[Category]],Q4Forecast[Region],Q1Forecast[[#This Row],[Region]])</f>
        <v>37819.333333333336</v>
      </c>
      <c r="G28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11034.1</v>
      </c>
      <c r="H28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11939.04</v>
      </c>
      <c r="I28" s="16">
        <f>AVERAGEIFS(Q4Forecast[Labor Cost],Q4Forecast[Category],Q1Forecast[[#This Row],[Category]],Q4Forecast[Region],Q1Forecast[[#This Row],[Region]])*(1+INDEX(ScenarioInputs[% Change],MATCH("Labor Cost Surge",ScenarioInputs[Scenario],0)))</f>
        <v>12265.866666666667</v>
      </c>
      <c r="J28" s="16">
        <f>SUM(Q1Forecast[[#This Row],[Base Other Expenses]]:Q1Forecast[[#This Row],[Forecast Labor]])</f>
        <v>73058.34</v>
      </c>
      <c r="K28" s="16">
        <f>Q1Forecast[[#This Row],[Forecast Revenue]]-Q1Forecast[[#This Row],[Total Expenses]]</f>
        <v>4036.9433333333291</v>
      </c>
      <c r="L28" s="17">
        <f>IFERROR(Q1Forecast[[#This Row],[Net Income]]/Q1Forecast[[#This Row],[Forecast Revenue]],0)</f>
        <v>5.2363039070483508E-2</v>
      </c>
      <c r="M28" t="str">
        <f>IF(Q1Forecast[[#This Row],[Total Expenses]]&gt;Q1Forecast[[#This Row],[Forecast Revenue]],"Overspend",IF(Q1Forecast[[#This Row],[Total Expenses]]/Q1Forecast[[#This Row],[Forecast Revenue]]&gt;=0.85,"Watch","Controlled"))</f>
        <v>Watch</v>
      </c>
      <c r="N28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29" spans="1:14" x14ac:dyDescent="0.45">
      <c r="A29" t="s">
        <v>22</v>
      </c>
      <c r="B29" t="s">
        <v>19</v>
      </c>
      <c r="C29" t="s">
        <v>47</v>
      </c>
      <c r="D29" s="16">
        <f>AVERAGEIFS(Q4Forecast[Projected Revenue],Q4Forecast[Category],Q1Forecast[[#This Row],[Category]],Q4Forecast[Region],Q1Forecast[[#This Row],[Region]])</f>
        <v>65140.666666666664</v>
      </c>
      <c r="E29" s="16">
        <f>Q1Forecast[[#This Row],[Base Revenue]]*(1+INDEX(ScenarioInputs[% Change],MATCH("Decrease Demand",ScenarioInputs[Scenario],0)))</f>
        <v>55369.566666666666</v>
      </c>
      <c r="F29" s="16">
        <f>AVERAGEIFS(Q4Forecast[Projected Expenses],Q4Forecast[Category],Q1Forecast[[#This Row],[Category]],Q4Forecast[Region],Q1Forecast[[#This Row],[Region]])</f>
        <v>49695</v>
      </c>
      <c r="G29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15024.900000000001</v>
      </c>
      <c r="H29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9414.36</v>
      </c>
      <c r="I29" s="16">
        <f>AVERAGEIFS(Q4Forecast[Labor Cost],Q4Forecast[Category],Q1Forecast[[#This Row],[Category]],Q4Forecast[Region],Q1Forecast[[#This Row],[Region]])*(1+INDEX(ScenarioInputs[% Change],MATCH("Labor Cost Surge",ScenarioInputs[Scenario],0)))</f>
        <v>16931.04</v>
      </c>
      <c r="J29" s="16">
        <f>SUM(Q1Forecast[[#This Row],[Base Other Expenses]]:Q1Forecast[[#This Row],[Forecast Labor]])</f>
        <v>91065.300000000017</v>
      </c>
      <c r="K29" s="16">
        <f>Q1Forecast[[#This Row],[Forecast Revenue]]-Q1Forecast[[#This Row],[Total Expenses]]</f>
        <v>-35695.733333333352</v>
      </c>
      <c r="L29" s="17">
        <f>IFERROR(Q1Forecast[[#This Row],[Net Income]]/Q1Forecast[[#This Row],[Forecast Revenue]],0)</f>
        <v>-0.64468146460721232</v>
      </c>
      <c r="M29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29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30" spans="1:14" x14ac:dyDescent="0.45">
      <c r="A30" t="s">
        <v>22</v>
      </c>
      <c r="B30" t="s">
        <v>19</v>
      </c>
      <c r="C30" t="s">
        <v>48</v>
      </c>
      <c r="D30" s="16">
        <f>AVERAGEIFS(Q4Forecast[Projected Revenue],Q4Forecast[Category],Q1Forecast[[#This Row],[Category]],Q4Forecast[Region],Q1Forecast[[#This Row],[Region]])</f>
        <v>65140.666666666664</v>
      </c>
      <c r="E30" s="16">
        <f>Q1Forecast[[#This Row],[Base Revenue]]*(1+INDEX(ScenarioInputs[% Change],MATCH("Decrease Demand",ScenarioInputs[Scenario],0)))</f>
        <v>55369.566666666666</v>
      </c>
      <c r="F30" s="16">
        <f>AVERAGEIFS(Q4Forecast[Projected Expenses],Q4Forecast[Category],Q1Forecast[[#This Row],[Category]],Q4Forecast[Region],Q1Forecast[[#This Row],[Region]])</f>
        <v>49695</v>
      </c>
      <c r="G30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15024.900000000001</v>
      </c>
      <c r="H30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9414.36</v>
      </c>
      <c r="I30" s="16">
        <f>AVERAGEIFS(Q4Forecast[Labor Cost],Q4Forecast[Category],Q1Forecast[[#This Row],[Category]],Q4Forecast[Region],Q1Forecast[[#This Row],[Region]])*(1+INDEX(ScenarioInputs[% Change],MATCH("Labor Cost Surge",ScenarioInputs[Scenario],0)))</f>
        <v>16931.04</v>
      </c>
      <c r="J30" s="16">
        <f>SUM(Q1Forecast[[#This Row],[Base Other Expenses]]:Q1Forecast[[#This Row],[Forecast Labor]])</f>
        <v>91065.300000000017</v>
      </c>
      <c r="K30" s="16">
        <f>Q1Forecast[[#This Row],[Forecast Revenue]]-Q1Forecast[[#This Row],[Total Expenses]]</f>
        <v>-35695.733333333352</v>
      </c>
      <c r="L30" s="17">
        <f>IFERROR(Q1Forecast[[#This Row],[Net Income]]/Q1Forecast[[#This Row],[Forecast Revenue]],0)</f>
        <v>-0.64468146460721232</v>
      </c>
      <c r="M30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0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31" spans="1:14" x14ac:dyDescent="0.45">
      <c r="A31" t="s">
        <v>22</v>
      </c>
      <c r="B31" t="s">
        <v>19</v>
      </c>
      <c r="C31" t="s">
        <v>49</v>
      </c>
      <c r="D31" s="16">
        <f>AVERAGEIFS(Q4Forecast[Projected Revenue],Q4Forecast[Category],Q1Forecast[[#This Row],[Category]],Q4Forecast[Region],Q1Forecast[[#This Row],[Region]])</f>
        <v>65140.666666666664</v>
      </c>
      <c r="E31" s="16">
        <f>Q1Forecast[[#This Row],[Base Revenue]]*(1+INDEX(ScenarioInputs[% Change],MATCH("Decrease Demand",ScenarioInputs[Scenario],0)))</f>
        <v>55369.566666666666</v>
      </c>
      <c r="F31" s="16">
        <f>AVERAGEIFS(Q4Forecast[Projected Expenses],Q4Forecast[Category],Q1Forecast[[#This Row],[Category]],Q4Forecast[Region],Q1Forecast[[#This Row],[Region]])</f>
        <v>49695</v>
      </c>
      <c r="G31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15024.900000000001</v>
      </c>
      <c r="H31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9414.36</v>
      </c>
      <c r="I31" s="16">
        <f>AVERAGEIFS(Q4Forecast[Labor Cost],Q4Forecast[Category],Q1Forecast[[#This Row],[Category]],Q4Forecast[Region],Q1Forecast[[#This Row],[Region]])*(1+INDEX(ScenarioInputs[% Change],MATCH("Labor Cost Surge",ScenarioInputs[Scenario],0)))</f>
        <v>16931.04</v>
      </c>
      <c r="J31" s="16">
        <f>SUM(Q1Forecast[[#This Row],[Base Other Expenses]]:Q1Forecast[[#This Row],[Forecast Labor]])</f>
        <v>91065.300000000017</v>
      </c>
      <c r="K31" s="16">
        <f>Q1Forecast[[#This Row],[Forecast Revenue]]-Q1Forecast[[#This Row],[Total Expenses]]</f>
        <v>-35695.733333333352</v>
      </c>
      <c r="L31" s="17">
        <f>IFERROR(Q1Forecast[[#This Row],[Net Income]]/Q1Forecast[[#This Row],[Forecast Revenue]],0)</f>
        <v>-0.64468146460721232</v>
      </c>
      <c r="M31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1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32" spans="1:14" ht="28.5" x14ac:dyDescent="0.45">
      <c r="A32" t="s">
        <v>23</v>
      </c>
      <c r="B32" t="s">
        <v>11</v>
      </c>
      <c r="C32" t="s">
        <v>47</v>
      </c>
      <c r="D32" s="16">
        <f>AVERAGEIFS(Q4Forecast[Projected Revenue],Q4Forecast[Category],Q1Forecast[[#This Row],[Category]],Q4Forecast[Region],Q1Forecast[[#This Row],[Region]])</f>
        <v>82963.333333333328</v>
      </c>
      <c r="E32" s="16">
        <f>Q1Forecast[[#This Row],[Base Revenue]]*(1+INDEX(ScenarioInputs[% Change],MATCH("Decrease Demand",ScenarioInputs[Scenario],0)))</f>
        <v>70518.833333333328</v>
      </c>
      <c r="F32" s="16">
        <f>AVERAGEIFS(Q4Forecast[Projected Expenses],Q4Forecast[Category],Q1Forecast[[#This Row],[Category]],Q4Forecast[Region],Q1Forecast[[#This Row],[Region]])</f>
        <v>58924</v>
      </c>
      <c r="G32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13032.800000000001</v>
      </c>
      <c r="H32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11352.6</v>
      </c>
      <c r="I32" s="16">
        <f>AVERAGEIFS(Q4Forecast[Labor Cost],Q4Forecast[Category],Q1Forecast[[#This Row],[Category]],Q4Forecast[Region],Q1Forecast[[#This Row],[Region]])*(1+INDEX(ScenarioInputs[% Change],MATCH("Labor Cost Surge",ScenarioInputs[Scenario],0)))</f>
        <v>11153.706666666667</v>
      </c>
      <c r="J32" s="16">
        <f>SUM(Q1Forecast[[#This Row],[Base Other Expenses]]:Q1Forecast[[#This Row],[Forecast Labor]])</f>
        <v>94463.106666666674</v>
      </c>
      <c r="K32" s="16">
        <f>Q1Forecast[[#This Row],[Forecast Revenue]]-Q1Forecast[[#This Row],[Total Expenses]]</f>
        <v>-23944.273333333345</v>
      </c>
      <c r="L32" s="17">
        <f>IFERROR(Q1Forecast[[#This Row],[Net Income]]/Q1Forecast[[#This Row],[Forecast Revenue]],0)</f>
        <v>-0.33954437703403129</v>
      </c>
      <c r="M32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2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33" spans="1:14" ht="28.5" x14ac:dyDescent="0.45">
      <c r="A33" t="s">
        <v>23</v>
      </c>
      <c r="B33" t="s">
        <v>11</v>
      </c>
      <c r="C33" t="s">
        <v>48</v>
      </c>
      <c r="D33" s="16">
        <f>AVERAGEIFS(Q4Forecast[Projected Revenue],Q4Forecast[Category],Q1Forecast[[#This Row],[Category]],Q4Forecast[Region],Q1Forecast[[#This Row],[Region]])</f>
        <v>82963.333333333328</v>
      </c>
      <c r="E33" s="16">
        <f>Q1Forecast[[#This Row],[Base Revenue]]*(1+INDEX(ScenarioInputs[% Change],MATCH("Decrease Demand",ScenarioInputs[Scenario],0)))</f>
        <v>70518.833333333328</v>
      </c>
      <c r="F33" s="16">
        <f>AVERAGEIFS(Q4Forecast[Projected Expenses],Q4Forecast[Category],Q1Forecast[[#This Row],[Category]],Q4Forecast[Region],Q1Forecast[[#This Row],[Region]])</f>
        <v>58924</v>
      </c>
      <c r="G33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13032.800000000001</v>
      </c>
      <c r="H33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11352.6</v>
      </c>
      <c r="I33" s="16">
        <f>AVERAGEIFS(Q4Forecast[Labor Cost],Q4Forecast[Category],Q1Forecast[[#This Row],[Category]],Q4Forecast[Region],Q1Forecast[[#This Row],[Region]])*(1+INDEX(ScenarioInputs[% Change],MATCH("Labor Cost Surge",ScenarioInputs[Scenario],0)))</f>
        <v>11153.706666666667</v>
      </c>
      <c r="J33" s="16">
        <f>SUM(Q1Forecast[[#This Row],[Base Other Expenses]]:Q1Forecast[[#This Row],[Forecast Labor]])</f>
        <v>94463.106666666674</v>
      </c>
      <c r="K33" s="16">
        <f>Q1Forecast[[#This Row],[Forecast Revenue]]-Q1Forecast[[#This Row],[Total Expenses]]</f>
        <v>-23944.273333333345</v>
      </c>
      <c r="L33" s="17">
        <f>IFERROR(Q1Forecast[[#This Row],[Net Income]]/Q1Forecast[[#This Row],[Forecast Revenue]],0)</f>
        <v>-0.33954437703403129</v>
      </c>
      <c r="M33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3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34" spans="1:14" ht="28.5" x14ac:dyDescent="0.45">
      <c r="A34" t="s">
        <v>23</v>
      </c>
      <c r="B34" t="s">
        <v>11</v>
      </c>
      <c r="C34" t="s">
        <v>49</v>
      </c>
      <c r="D34" s="16">
        <f>AVERAGEIFS(Q4Forecast[Projected Revenue],Q4Forecast[Category],Q1Forecast[[#This Row],[Category]],Q4Forecast[Region],Q1Forecast[[#This Row],[Region]])</f>
        <v>82963.333333333328</v>
      </c>
      <c r="E34" s="16">
        <f>Q1Forecast[[#This Row],[Base Revenue]]*(1+INDEX(ScenarioInputs[% Change],MATCH("Decrease Demand",ScenarioInputs[Scenario],0)))</f>
        <v>70518.833333333328</v>
      </c>
      <c r="F34" s="16">
        <f>AVERAGEIFS(Q4Forecast[Projected Expenses],Q4Forecast[Category],Q1Forecast[[#This Row],[Category]],Q4Forecast[Region],Q1Forecast[[#This Row],[Region]])</f>
        <v>58924</v>
      </c>
      <c r="G34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13032.800000000001</v>
      </c>
      <c r="H34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11352.6</v>
      </c>
      <c r="I34" s="16">
        <f>AVERAGEIFS(Q4Forecast[Labor Cost],Q4Forecast[Category],Q1Forecast[[#This Row],[Category]],Q4Forecast[Region],Q1Forecast[[#This Row],[Region]])*(1+INDEX(ScenarioInputs[% Change],MATCH("Labor Cost Surge",ScenarioInputs[Scenario],0)))</f>
        <v>11153.706666666667</v>
      </c>
      <c r="J34" s="16">
        <f>SUM(Q1Forecast[[#This Row],[Base Other Expenses]]:Q1Forecast[[#This Row],[Forecast Labor]])</f>
        <v>94463.106666666674</v>
      </c>
      <c r="K34" s="16">
        <f>Q1Forecast[[#This Row],[Forecast Revenue]]-Q1Forecast[[#This Row],[Total Expenses]]</f>
        <v>-23944.273333333345</v>
      </c>
      <c r="L34" s="17">
        <f>IFERROR(Q1Forecast[[#This Row],[Net Income]]/Q1Forecast[[#This Row],[Forecast Revenue]],0)</f>
        <v>-0.33954437703403129</v>
      </c>
      <c r="M34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4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35" spans="1:14" ht="28.5" x14ac:dyDescent="0.45">
      <c r="A35" t="s">
        <v>23</v>
      </c>
      <c r="B35" t="s">
        <v>17</v>
      </c>
      <c r="C35" t="s">
        <v>47</v>
      </c>
      <c r="D35" s="16">
        <f>AVERAGEIFS(Q4Forecast[Projected Revenue],Q4Forecast[Category],Q1Forecast[[#This Row],[Category]],Q4Forecast[Region],Q1Forecast[[#This Row],[Region]])</f>
        <v>84733.666666666672</v>
      </c>
      <c r="E35" s="16">
        <f>Q1Forecast[[#This Row],[Base Revenue]]*(1+INDEX(ScenarioInputs[% Change],MATCH("Decrease Demand",ScenarioInputs[Scenario],0)))</f>
        <v>72023.616666666669</v>
      </c>
      <c r="F35" s="16">
        <f>AVERAGEIFS(Q4Forecast[Projected Expenses],Q4Forecast[Category],Q1Forecast[[#This Row],[Category]],Q4Forecast[Region],Q1Forecast[[#This Row],[Region]])</f>
        <v>51080.666666666664</v>
      </c>
      <c r="G35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22534.966666666667</v>
      </c>
      <c r="H35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7376.76</v>
      </c>
      <c r="I35" s="16">
        <f>AVERAGEIFS(Q4Forecast[Labor Cost],Q4Forecast[Category],Q1Forecast[[#This Row],[Category]],Q4Forecast[Region],Q1Forecast[[#This Row],[Region]])*(1+INDEX(ScenarioInputs[% Change],MATCH("Labor Cost Surge",ScenarioInputs[Scenario],0)))</f>
        <v>7561.4933333333338</v>
      </c>
      <c r="J35" s="16">
        <f>SUM(Q1Forecast[[#This Row],[Base Other Expenses]]:Q1Forecast[[#This Row],[Forecast Labor]])</f>
        <v>88553.886666666658</v>
      </c>
      <c r="K35" s="16">
        <f>Q1Forecast[[#This Row],[Forecast Revenue]]-Q1Forecast[[#This Row],[Total Expenses]]</f>
        <v>-16530.26999999999</v>
      </c>
      <c r="L35" s="17">
        <f>IFERROR(Q1Forecast[[#This Row],[Net Income]]/Q1Forecast[[#This Row],[Forecast Revenue]],0)</f>
        <v>-0.22951180133738525</v>
      </c>
      <c r="M35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5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36" spans="1:14" ht="28.5" x14ac:dyDescent="0.45">
      <c r="A36" t="s">
        <v>23</v>
      </c>
      <c r="B36" t="s">
        <v>17</v>
      </c>
      <c r="C36" t="s">
        <v>48</v>
      </c>
      <c r="D36" s="16">
        <f>AVERAGEIFS(Q4Forecast[Projected Revenue],Q4Forecast[Category],Q1Forecast[[#This Row],[Category]],Q4Forecast[Region],Q1Forecast[[#This Row],[Region]])</f>
        <v>84733.666666666672</v>
      </c>
      <c r="E36" s="16">
        <f>Q1Forecast[[#This Row],[Base Revenue]]*(1+INDEX(ScenarioInputs[% Change],MATCH("Decrease Demand",ScenarioInputs[Scenario],0)))</f>
        <v>72023.616666666669</v>
      </c>
      <c r="F36" s="16">
        <f>AVERAGEIFS(Q4Forecast[Projected Expenses],Q4Forecast[Category],Q1Forecast[[#This Row],[Category]],Q4Forecast[Region],Q1Forecast[[#This Row],[Region]])</f>
        <v>51080.666666666664</v>
      </c>
      <c r="G36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22534.966666666667</v>
      </c>
      <c r="H36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7376.76</v>
      </c>
      <c r="I36" s="16">
        <f>AVERAGEIFS(Q4Forecast[Labor Cost],Q4Forecast[Category],Q1Forecast[[#This Row],[Category]],Q4Forecast[Region],Q1Forecast[[#This Row],[Region]])*(1+INDEX(ScenarioInputs[% Change],MATCH("Labor Cost Surge",ScenarioInputs[Scenario],0)))</f>
        <v>7561.4933333333338</v>
      </c>
      <c r="J36" s="16">
        <f>SUM(Q1Forecast[[#This Row],[Base Other Expenses]]:Q1Forecast[[#This Row],[Forecast Labor]])</f>
        <v>88553.886666666658</v>
      </c>
      <c r="K36" s="16">
        <f>Q1Forecast[[#This Row],[Forecast Revenue]]-Q1Forecast[[#This Row],[Total Expenses]]</f>
        <v>-16530.26999999999</v>
      </c>
      <c r="L36" s="17">
        <f>IFERROR(Q1Forecast[[#This Row],[Net Income]]/Q1Forecast[[#This Row],[Forecast Revenue]],0)</f>
        <v>-0.22951180133738525</v>
      </c>
      <c r="M36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6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37" spans="1:14" ht="28.5" x14ac:dyDescent="0.45">
      <c r="A37" t="s">
        <v>23</v>
      </c>
      <c r="B37" t="s">
        <v>17</v>
      </c>
      <c r="C37" t="s">
        <v>49</v>
      </c>
      <c r="D37" s="16">
        <f>AVERAGEIFS(Q4Forecast[Projected Revenue],Q4Forecast[Category],Q1Forecast[[#This Row],[Category]],Q4Forecast[Region],Q1Forecast[[#This Row],[Region]])</f>
        <v>84733.666666666672</v>
      </c>
      <c r="E37" s="16">
        <f>Q1Forecast[[#This Row],[Base Revenue]]*(1+INDEX(ScenarioInputs[% Change],MATCH("Decrease Demand",ScenarioInputs[Scenario],0)))</f>
        <v>72023.616666666669</v>
      </c>
      <c r="F37" s="16">
        <f>AVERAGEIFS(Q4Forecast[Projected Expenses],Q4Forecast[Category],Q1Forecast[[#This Row],[Category]],Q4Forecast[Region],Q1Forecast[[#This Row],[Region]])</f>
        <v>51080.666666666664</v>
      </c>
      <c r="G37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22534.966666666667</v>
      </c>
      <c r="H37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7376.76</v>
      </c>
      <c r="I37" s="16">
        <f>AVERAGEIFS(Q4Forecast[Labor Cost],Q4Forecast[Category],Q1Forecast[[#This Row],[Category]],Q4Forecast[Region],Q1Forecast[[#This Row],[Region]])*(1+INDEX(ScenarioInputs[% Change],MATCH("Labor Cost Surge",ScenarioInputs[Scenario],0)))</f>
        <v>7561.4933333333338</v>
      </c>
      <c r="J37" s="16">
        <f>SUM(Q1Forecast[[#This Row],[Base Other Expenses]]:Q1Forecast[[#This Row],[Forecast Labor]])</f>
        <v>88553.886666666658</v>
      </c>
      <c r="K37" s="16">
        <f>Q1Forecast[[#This Row],[Forecast Revenue]]-Q1Forecast[[#This Row],[Total Expenses]]</f>
        <v>-16530.26999999999</v>
      </c>
      <c r="L37" s="17">
        <f>IFERROR(Q1Forecast[[#This Row],[Net Income]]/Q1Forecast[[#This Row],[Forecast Revenue]],0)</f>
        <v>-0.22951180133738525</v>
      </c>
      <c r="M37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7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38" spans="1:14" x14ac:dyDescent="0.45">
      <c r="A38" t="s">
        <v>23</v>
      </c>
      <c r="B38" t="s">
        <v>19</v>
      </c>
      <c r="C38" t="s">
        <v>47</v>
      </c>
      <c r="D38" s="16">
        <f>AVERAGEIFS(Q4Forecast[Projected Revenue],Q4Forecast[Category],Q1Forecast[[#This Row],[Category]],Q4Forecast[Region],Q1Forecast[[#This Row],[Region]])</f>
        <v>64503.666666666664</v>
      </c>
      <c r="E38" s="16">
        <f>Q1Forecast[[#This Row],[Base Revenue]]*(1+INDEX(ScenarioInputs[% Change],MATCH("Decrease Demand",ScenarioInputs[Scenario],0)))</f>
        <v>54828.116666666661</v>
      </c>
      <c r="F38" s="16">
        <f>AVERAGEIFS(Q4Forecast[Projected Expenses],Q4Forecast[Category],Q1Forecast[[#This Row],[Category]],Q4Forecast[Region],Q1Forecast[[#This Row],[Region]])</f>
        <v>43004.333333333336</v>
      </c>
      <c r="G38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15041.400000000001</v>
      </c>
      <c r="H38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8313.84</v>
      </c>
      <c r="I38" s="16">
        <f>AVERAGEIFS(Q4Forecast[Labor Cost],Q4Forecast[Category],Q1Forecast[[#This Row],[Category]],Q4Forecast[Region],Q1Forecast[[#This Row],[Region]])*(1+INDEX(ScenarioInputs[% Change],MATCH("Labor Cost Surge",ScenarioInputs[Scenario],0)))</f>
        <v>15334.293333333335</v>
      </c>
      <c r="J38" s="16">
        <f>SUM(Q1Forecast[[#This Row],[Base Other Expenses]]:Q1Forecast[[#This Row],[Forecast Labor]])</f>
        <v>81693.866666666669</v>
      </c>
      <c r="K38" s="16">
        <f>Q1Forecast[[#This Row],[Forecast Revenue]]-Q1Forecast[[#This Row],[Total Expenses]]</f>
        <v>-26865.750000000007</v>
      </c>
      <c r="L38" s="17">
        <f>IFERROR(Q1Forecast[[#This Row],[Net Income]]/Q1Forecast[[#This Row],[Forecast Revenue]],0)</f>
        <v>-0.48999950451213159</v>
      </c>
      <c r="M38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8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39" spans="1:14" x14ac:dyDescent="0.45">
      <c r="A39" t="s">
        <v>23</v>
      </c>
      <c r="B39" t="s">
        <v>19</v>
      </c>
      <c r="C39" t="s">
        <v>48</v>
      </c>
      <c r="D39" s="16">
        <f>AVERAGEIFS(Q4Forecast[Projected Revenue],Q4Forecast[Category],Q1Forecast[[#This Row],[Category]],Q4Forecast[Region],Q1Forecast[[#This Row],[Region]])</f>
        <v>64503.666666666664</v>
      </c>
      <c r="E39" s="16">
        <f>Q1Forecast[[#This Row],[Base Revenue]]*(1+INDEX(ScenarioInputs[% Change],MATCH("Decrease Demand",ScenarioInputs[Scenario],0)))</f>
        <v>54828.116666666661</v>
      </c>
      <c r="F39" s="16">
        <f>AVERAGEIFS(Q4Forecast[Projected Expenses],Q4Forecast[Category],Q1Forecast[[#This Row],[Category]],Q4Forecast[Region],Q1Forecast[[#This Row],[Region]])</f>
        <v>43004.333333333336</v>
      </c>
      <c r="G39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15041.400000000001</v>
      </c>
      <c r="H39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8313.84</v>
      </c>
      <c r="I39" s="16">
        <f>AVERAGEIFS(Q4Forecast[Labor Cost],Q4Forecast[Category],Q1Forecast[[#This Row],[Category]],Q4Forecast[Region],Q1Forecast[[#This Row],[Region]])*(1+INDEX(ScenarioInputs[% Change],MATCH("Labor Cost Surge",ScenarioInputs[Scenario],0)))</f>
        <v>15334.293333333335</v>
      </c>
      <c r="J39" s="16">
        <f>SUM(Q1Forecast[[#This Row],[Base Other Expenses]]:Q1Forecast[[#This Row],[Forecast Labor]])</f>
        <v>81693.866666666669</v>
      </c>
      <c r="K39" s="16">
        <f>Q1Forecast[[#This Row],[Forecast Revenue]]-Q1Forecast[[#This Row],[Total Expenses]]</f>
        <v>-26865.750000000007</v>
      </c>
      <c r="L39" s="17">
        <f>IFERROR(Q1Forecast[[#This Row],[Net Income]]/Q1Forecast[[#This Row],[Forecast Revenue]],0)</f>
        <v>-0.48999950451213159</v>
      </c>
      <c r="M39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39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40" spans="1:14" x14ac:dyDescent="0.45">
      <c r="A40" t="s">
        <v>23</v>
      </c>
      <c r="B40" t="s">
        <v>19</v>
      </c>
      <c r="C40" t="s">
        <v>49</v>
      </c>
      <c r="D40" s="16">
        <f>AVERAGEIFS(Q4Forecast[Projected Revenue],Q4Forecast[Category],Q1Forecast[[#This Row],[Category]],Q4Forecast[Region],Q1Forecast[[#This Row],[Region]])</f>
        <v>64503.666666666664</v>
      </c>
      <c r="E40" s="16">
        <f>Q1Forecast[[#This Row],[Base Revenue]]*(1+INDEX(ScenarioInputs[% Change],MATCH("Decrease Demand",ScenarioInputs[Scenario],0)))</f>
        <v>54828.116666666661</v>
      </c>
      <c r="F40" s="16">
        <f>AVERAGEIFS(Q4Forecast[Projected Expenses],Q4Forecast[Category],Q1Forecast[[#This Row],[Category]],Q4Forecast[Region],Q1Forecast[[#This Row],[Region]])</f>
        <v>43004.333333333336</v>
      </c>
      <c r="G40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15041.400000000001</v>
      </c>
      <c r="H40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8313.84</v>
      </c>
      <c r="I40" s="16">
        <f>AVERAGEIFS(Q4Forecast[Labor Cost],Q4Forecast[Category],Q1Forecast[[#This Row],[Category]],Q4Forecast[Region],Q1Forecast[[#This Row],[Region]])*(1+INDEX(ScenarioInputs[% Change],MATCH("Labor Cost Surge",ScenarioInputs[Scenario],0)))</f>
        <v>15334.293333333335</v>
      </c>
      <c r="J40" s="16">
        <f>SUM(Q1Forecast[[#This Row],[Base Other Expenses]]:Q1Forecast[[#This Row],[Forecast Labor]])</f>
        <v>81693.866666666669</v>
      </c>
      <c r="K40" s="16">
        <f>Q1Forecast[[#This Row],[Forecast Revenue]]-Q1Forecast[[#This Row],[Total Expenses]]</f>
        <v>-26865.750000000007</v>
      </c>
      <c r="L40" s="17">
        <f>IFERROR(Q1Forecast[[#This Row],[Net Income]]/Q1Forecast[[#This Row],[Forecast Revenue]],0)</f>
        <v>-0.48999950451213159</v>
      </c>
      <c r="M40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0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Optimize staffing and overtime</v>
      </c>
    </row>
    <row r="41" spans="1:14" ht="28.5" x14ac:dyDescent="0.45">
      <c r="A41" t="s">
        <v>24</v>
      </c>
      <c r="B41" t="s">
        <v>11</v>
      </c>
      <c r="C41" t="s">
        <v>47</v>
      </c>
      <c r="D41" s="16">
        <f>AVERAGEIFS(Q4Forecast[Projected Revenue],Q4Forecast[Category],Q1Forecast[[#This Row],[Category]],Q4Forecast[Region],Q1Forecast[[#This Row],[Region]])</f>
        <v>65764.666666666672</v>
      </c>
      <c r="E41" s="16">
        <f>Q1Forecast[[#This Row],[Base Revenue]]*(1+INDEX(ScenarioInputs[% Change],MATCH("Decrease Demand",ScenarioInputs[Scenario],0)))</f>
        <v>55899.966666666667</v>
      </c>
      <c r="F41" s="16">
        <f>AVERAGEIFS(Q4Forecast[Projected Expenses],Q4Forecast[Category],Q1Forecast[[#This Row],[Category]],Q4Forecast[Region],Q1Forecast[[#This Row],[Region]])</f>
        <v>43636.666666666664</v>
      </c>
      <c r="G41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16695.433333333334</v>
      </c>
      <c r="H41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6183.36</v>
      </c>
      <c r="I41" s="16">
        <f>AVERAGEIFS(Q4Forecast[Labor Cost],Q4Forecast[Category],Q1Forecast[[#This Row],[Category]],Q4Forecast[Region],Q1Forecast[[#This Row],[Region]])*(1+INDEX(ScenarioInputs[% Change],MATCH("Labor Cost Surge",ScenarioInputs[Scenario],0)))</f>
        <v>11958.986666666668</v>
      </c>
      <c r="J41" s="16">
        <f>SUM(Q1Forecast[[#This Row],[Base Other Expenses]]:Q1Forecast[[#This Row],[Forecast Labor]])</f>
        <v>78474.446666666656</v>
      </c>
      <c r="K41" s="16">
        <f>Q1Forecast[[#This Row],[Forecast Revenue]]-Q1Forecast[[#This Row],[Total Expenses]]</f>
        <v>-22574.479999999989</v>
      </c>
      <c r="L41" s="17">
        <f>IFERROR(Q1Forecast[[#This Row],[Net Income]]/Q1Forecast[[#This Row],[Forecast Revenue]],0)</f>
        <v>-0.40383709232981035</v>
      </c>
      <c r="M41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1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2" spans="1:14" ht="28.5" x14ac:dyDescent="0.45">
      <c r="A42" t="s">
        <v>24</v>
      </c>
      <c r="B42" t="s">
        <v>11</v>
      </c>
      <c r="C42" t="s">
        <v>48</v>
      </c>
      <c r="D42" s="16">
        <f>AVERAGEIFS(Q4Forecast[Projected Revenue],Q4Forecast[Category],Q1Forecast[[#This Row],[Category]],Q4Forecast[Region],Q1Forecast[[#This Row],[Region]])</f>
        <v>65764.666666666672</v>
      </c>
      <c r="E42" s="16">
        <f>Q1Forecast[[#This Row],[Base Revenue]]*(1+INDEX(ScenarioInputs[% Change],MATCH("Decrease Demand",ScenarioInputs[Scenario],0)))</f>
        <v>55899.966666666667</v>
      </c>
      <c r="F42" s="16">
        <f>AVERAGEIFS(Q4Forecast[Projected Expenses],Q4Forecast[Category],Q1Forecast[[#This Row],[Category]],Q4Forecast[Region],Q1Forecast[[#This Row],[Region]])</f>
        <v>43636.666666666664</v>
      </c>
      <c r="G42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16695.433333333334</v>
      </c>
      <c r="H42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6183.36</v>
      </c>
      <c r="I42" s="16">
        <f>AVERAGEIFS(Q4Forecast[Labor Cost],Q4Forecast[Category],Q1Forecast[[#This Row],[Category]],Q4Forecast[Region],Q1Forecast[[#This Row],[Region]])*(1+INDEX(ScenarioInputs[% Change],MATCH("Labor Cost Surge",ScenarioInputs[Scenario],0)))</f>
        <v>11958.986666666668</v>
      </c>
      <c r="J42" s="16">
        <f>SUM(Q1Forecast[[#This Row],[Base Other Expenses]]:Q1Forecast[[#This Row],[Forecast Labor]])</f>
        <v>78474.446666666656</v>
      </c>
      <c r="K42" s="16">
        <f>Q1Forecast[[#This Row],[Forecast Revenue]]-Q1Forecast[[#This Row],[Total Expenses]]</f>
        <v>-22574.479999999989</v>
      </c>
      <c r="L42" s="17">
        <f>IFERROR(Q1Forecast[[#This Row],[Net Income]]/Q1Forecast[[#This Row],[Forecast Revenue]],0)</f>
        <v>-0.40383709232981035</v>
      </c>
      <c r="M42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2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3" spans="1:14" ht="28.5" x14ac:dyDescent="0.45">
      <c r="A43" t="s">
        <v>24</v>
      </c>
      <c r="B43" t="s">
        <v>11</v>
      </c>
      <c r="C43" t="s">
        <v>49</v>
      </c>
      <c r="D43" s="16">
        <f>AVERAGEIFS(Q4Forecast[Projected Revenue],Q4Forecast[Category],Q1Forecast[[#This Row],[Category]],Q4Forecast[Region],Q1Forecast[[#This Row],[Region]])</f>
        <v>65764.666666666672</v>
      </c>
      <c r="E43" s="16">
        <f>Q1Forecast[[#This Row],[Base Revenue]]*(1+INDEX(ScenarioInputs[% Change],MATCH("Decrease Demand",ScenarioInputs[Scenario],0)))</f>
        <v>55899.966666666667</v>
      </c>
      <c r="F43" s="16">
        <f>AVERAGEIFS(Q4Forecast[Projected Expenses],Q4Forecast[Category],Q1Forecast[[#This Row],[Category]],Q4Forecast[Region],Q1Forecast[[#This Row],[Region]])</f>
        <v>43636.666666666664</v>
      </c>
      <c r="G43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16695.433333333334</v>
      </c>
      <c r="H43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6183.36</v>
      </c>
      <c r="I43" s="16">
        <f>AVERAGEIFS(Q4Forecast[Labor Cost],Q4Forecast[Category],Q1Forecast[[#This Row],[Category]],Q4Forecast[Region],Q1Forecast[[#This Row],[Region]])*(1+INDEX(ScenarioInputs[% Change],MATCH("Labor Cost Surge",ScenarioInputs[Scenario],0)))</f>
        <v>11958.986666666668</v>
      </c>
      <c r="J43" s="16">
        <f>SUM(Q1Forecast[[#This Row],[Base Other Expenses]]:Q1Forecast[[#This Row],[Forecast Labor]])</f>
        <v>78474.446666666656</v>
      </c>
      <c r="K43" s="16">
        <f>Q1Forecast[[#This Row],[Forecast Revenue]]-Q1Forecast[[#This Row],[Total Expenses]]</f>
        <v>-22574.479999999989</v>
      </c>
      <c r="L43" s="17">
        <f>IFERROR(Q1Forecast[[#This Row],[Net Income]]/Q1Forecast[[#This Row],[Forecast Revenue]],0)</f>
        <v>-0.40383709232981035</v>
      </c>
      <c r="M43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3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4" spans="1:14" ht="28.5" x14ac:dyDescent="0.45">
      <c r="A44" t="s">
        <v>24</v>
      </c>
      <c r="B44" t="s">
        <v>17</v>
      </c>
      <c r="C44" t="s">
        <v>47</v>
      </c>
      <c r="D44" s="16">
        <f>AVERAGEIFS(Q4Forecast[Projected Revenue],Q4Forecast[Category],Q1Forecast[[#This Row],[Category]],Q4Forecast[Region],Q1Forecast[[#This Row],[Region]])</f>
        <v>88101.333333333328</v>
      </c>
      <c r="E44" s="16">
        <f>Q1Forecast[[#This Row],[Base Revenue]]*(1+INDEX(ScenarioInputs[% Change],MATCH("Decrease Demand",ScenarioInputs[Scenario],0)))</f>
        <v>74886.133333333331</v>
      </c>
      <c r="F44" s="16">
        <f>AVERAGEIFS(Q4Forecast[Projected Expenses],Q4Forecast[Category],Q1Forecast[[#This Row],[Category]],Q4Forecast[Region],Q1Forecast[[#This Row],[Region]])</f>
        <v>43903</v>
      </c>
      <c r="G44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12683.733333333334</v>
      </c>
      <c r="H44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9316.44</v>
      </c>
      <c r="I44" s="16">
        <f>AVERAGEIFS(Q4Forecast[Labor Cost],Q4Forecast[Category],Q1Forecast[[#This Row],[Category]],Q4Forecast[Region],Q1Forecast[[#This Row],[Region]])*(1+INDEX(ScenarioInputs[% Change],MATCH("Labor Cost Surge",ScenarioInputs[Scenario],0)))</f>
        <v>10788.960000000001</v>
      </c>
      <c r="J44" s="16">
        <f>SUM(Q1Forecast[[#This Row],[Base Other Expenses]]:Q1Forecast[[#This Row],[Forecast Labor]])</f>
        <v>76692.133333333346</v>
      </c>
      <c r="K44" s="16">
        <f>Q1Forecast[[#This Row],[Forecast Revenue]]-Q1Forecast[[#This Row],[Total Expenses]]</f>
        <v>-1806.0000000000146</v>
      </c>
      <c r="L44" s="17">
        <f>IFERROR(Q1Forecast[[#This Row],[Net Income]]/Q1Forecast[[#This Row],[Forecast Revenue]],0)</f>
        <v>-2.4116614379876486E-2</v>
      </c>
      <c r="M44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4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5" spans="1:14" ht="28.5" x14ac:dyDescent="0.45">
      <c r="A45" t="s">
        <v>24</v>
      </c>
      <c r="B45" t="s">
        <v>17</v>
      </c>
      <c r="C45" t="s">
        <v>48</v>
      </c>
      <c r="D45" s="16">
        <f>AVERAGEIFS(Q4Forecast[Projected Revenue],Q4Forecast[Category],Q1Forecast[[#This Row],[Category]],Q4Forecast[Region],Q1Forecast[[#This Row],[Region]])</f>
        <v>88101.333333333328</v>
      </c>
      <c r="E45" s="16">
        <f>Q1Forecast[[#This Row],[Base Revenue]]*(1+INDEX(ScenarioInputs[% Change],MATCH("Decrease Demand",ScenarioInputs[Scenario],0)))</f>
        <v>74886.133333333331</v>
      </c>
      <c r="F45" s="16">
        <f>AVERAGEIFS(Q4Forecast[Projected Expenses],Q4Forecast[Category],Q1Forecast[[#This Row],[Category]],Q4Forecast[Region],Q1Forecast[[#This Row],[Region]])</f>
        <v>43903</v>
      </c>
      <c r="G45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12683.733333333334</v>
      </c>
      <c r="H45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9316.44</v>
      </c>
      <c r="I45" s="16">
        <f>AVERAGEIFS(Q4Forecast[Labor Cost],Q4Forecast[Category],Q1Forecast[[#This Row],[Category]],Q4Forecast[Region],Q1Forecast[[#This Row],[Region]])*(1+INDEX(ScenarioInputs[% Change],MATCH("Labor Cost Surge",ScenarioInputs[Scenario],0)))</f>
        <v>10788.960000000001</v>
      </c>
      <c r="J45" s="16">
        <f>SUM(Q1Forecast[[#This Row],[Base Other Expenses]]:Q1Forecast[[#This Row],[Forecast Labor]])</f>
        <v>76692.133333333346</v>
      </c>
      <c r="K45" s="16">
        <f>Q1Forecast[[#This Row],[Forecast Revenue]]-Q1Forecast[[#This Row],[Total Expenses]]</f>
        <v>-1806.0000000000146</v>
      </c>
      <c r="L45" s="17">
        <f>IFERROR(Q1Forecast[[#This Row],[Net Income]]/Q1Forecast[[#This Row],[Forecast Revenue]],0)</f>
        <v>-2.4116614379876486E-2</v>
      </c>
      <c r="M45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5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6" spans="1:14" ht="28.5" x14ac:dyDescent="0.45">
      <c r="A46" t="s">
        <v>24</v>
      </c>
      <c r="B46" t="s">
        <v>17</v>
      </c>
      <c r="C46" t="s">
        <v>49</v>
      </c>
      <c r="D46" s="16">
        <f>AVERAGEIFS(Q4Forecast[Projected Revenue],Q4Forecast[Category],Q1Forecast[[#This Row],[Category]],Q4Forecast[Region],Q1Forecast[[#This Row],[Region]])</f>
        <v>88101.333333333328</v>
      </c>
      <c r="E46" s="16">
        <f>Q1Forecast[[#This Row],[Base Revenue]]*(1+INDEX(ScenarioInputs[% Change],MATCH("Decrease Demand",ScenarioInputs[Scenario],0)))</f>
        <v>74886.133333333331</v>
      </c>
      <c r="F46" s="16">
        <f>AVERAGEIFS(Q4Forecast[Projected Expenses],Q4Forecast[Category],Q1Forecast[[#This Row],[Category]],Q4Forecast[Region],Q1Forecast[[#This Row],[Region]])</f>
        <v>43903</v>
      </c>
      <c r="G46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12683.733333333334</v>
      </c>
      <c r="H46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9316.44</v>
      </c>
      <c r="I46" s="16">
        <f>AVERAGEIFS(Q4Forecast[Labor Cost],Q4Forecast[Category],Q1Forecast[[#This Row],[Category]],Q4Forecast[Region],Q1Forecast[[#This Row],[Region]])*(1+INDEX(ScenarioInputs[% Change],MATCH("Labor Cost Surge",ScenarioInputs[Scenario],0)))</f>
        <v>10788.960000000001</v>
      </c>
      <c r="J46" s="16">
        <f>SUM(Q1Forecast[[#This Row],[Base Other Expenses]]:Q1Forecast[[#This Row],[Forecast Labor]])</f>
        <v>76692.133333333346</v>
      </c>
      <c r="K46" s="16">
        <f>Q1Forecast[[#This Row],[Forecast Revenue]]-Q1Forecast[[#This Row],[Total Expenses]]</f>
        <v>-1806.0000000000146</v>
      </c>
      <c r="L46" s="17">
        <f>IFERROR(Q1Forecast[[#This Row],[Net Income]]/Q1Forecast[[#This Row],[Forecast Revenue]],0)</f>
        <v>-2.4116614379876486E-2</v>
      </c>
      <c r="M46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6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7" spans="1:14" ht="28.5" x14ac:dyDescent="0.45">
      <c r="A47" t="s">
        <v>24</v>
      </c>
      <c r="B47" t="s">
        <v>19</v>
      </c>
      <c r="C47" t="s">
        <v>47</v>
      </c>
      <c r="D47" s="16">
        <f>AVERAGEIFS(Q4Forecast[Projected Revenue],Q4Forecast[Category],Q1Forecast[[#This Row],[Category]],Q4Forecast[Region],Q1Forecast[[#This Row],[Region]])</f>
        <v>91345.333333333328</v>
      </c>
      <c r="E47" s="16">
        <f>Q1Forecast[[#This Row],[Base Revenue]]*(1+INDEX(ScenarioInputs[% Change],MATCH("Decrease Demand",ScenarioInputs[Scenario],0)))</f>
        <v>77643.533333333326</v>
      </c>
      <c r="F47" s="16">
        <f>AVERAGEIFS(Q4Forecast[Projected Expenses],Q4Forecast[Category],Q1Forecast[[#This Row],[Category]],Q4Forecast[Region],Q1Forecast[[#This Row],[Region]])</f>
        <v>62123</v>
      </c>
      <c r="G47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23003.566666666666</v>
      </c>
      <c r="H47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10962</v>
      </c>
      <c r="I47" s="16">
        <f>AVERAGEIFS(Q4Forecast[Labor Cost],Q4Forecast[Category],Q1Forecast[[#This Row],[Category]],Q4Forecast[Region],Q1Forecast[[#This Row],[Region]])*(1+INDEX(ScenarioInputs[% Change],MATCH("Labor Cost Surge",ScenarioInputs[Scenario],0)))</f>
        <v>12577.973333333335</v>
      </c>
      <c r="J47" s="16">
        <f>SUM(Q1Forecast[[#This Row],[Base Other Expenses]]:Q1Forecast[[#This Row],[Forecast Labor]])</f>
        <v>108666.54000000001</v>
      </c>
      <c r="K47" s="16">
        <f>Q1Forecast[[#This Row],[Forecast Revenue]]-Q1Forecast[[#This Row],[Total Expenses]]</f>
        <v>-31023.006666666683</v>
      </c>
      <c r="L47" s="17">
        <f>IFERROR(Q1Forecast[[#This Row],[Net Income]]/Q1Forecast[[#This Row],[Forecast Revenue]],0)</f>
        <v>-0.39955686371820642</v>
      </c>
      <c r="M47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7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8" spans="1:14" ht="28.5" x14ac:dyDescent="0.45">
      <c r="A48" t="s">
        <v>24</v>
      </c>
      <c r="B48" t="s">
        <v>19</v>
      </c>
      <c r="C48" t="s">
        <v>48</v>
      </c>
      <c r="D48" s="16">
        <f>AVERAGEIFS(Q4Forecast[Projected Revenue],Q4Forecast[Category],Q1Forecast[[#This Row],[Category]],Q4Forecast[Region],Q1Forecast[[#This Row],[Region]])</f>
        <v>91345.333333333328</v>
      </c>
      <c r="E48" s="16">
        <f>Q1Forecast[[#This Row],[Base Revenue]]*(1+INDEX(ScenarioInputs[% Change],MATCH("Decrease Demand",ScenarioInputs[Scenario],0)))</f>
        <v>77643.533333333326</v>
      </c>
      <c r="F48" s="16">
        <f>AVERAGEIFS(Q4Forecast[Projected Expenses],Q4Forecast[Category],Q1Forecast[[#This Row],[Category]],Q4Forecast[Region],Q1Forecast[[#This Row],[Region]])</f>
        <v>62123</v>
      </c>
      <c r="G48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23003.566666666666</v>
      </c>
      <c r="H48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10962</v>
      </c>
      <c r="I48" s="16">
        <f>AVERAGEIFS(Q4Forecast[Labor Cost],Q4Forecast[Category],Q1Forecast[[#This Row],[Category]],Q4Forecast[Region],Q1Forecast[[#This Row],[Region]])*(1+INDEX(ScenarioInputs[% Change],MATCH("Labor Cost Surge",ScenarioInputs[Scenario],0)))</f>
        <v>12577.973333333335</v>
      </c>
      <c r="J48" s="16">
        <f>SUM(Q1Forecast[[#This Row],[Base Other Expenses]]:Q1Forecast[[#This Row],[Forecast Labor]])</f>
        <v>108666.54000000001</v>
      </c>
      <c r="K48" s="16">
        <f>Q1Forecast[[#This Row],[Forecast Revenue]]-Q1Forecast[[#This Row],[Total Expenses]]</f>
        <v>-31023.006666666683</v>
      </c>
      <c r="L48" s="17">
        <f>IFERROR(Q1Forecast[[#This Row],[Net Income]]/Q1Forecast[[#This Row],[Forecast Revenue]],0)</f>
        <v>-0.39955686371820642</v>
      </c>
      <c r="M48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8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  <row r="49" spans="1:14" ht="28.5" x14ac:dyDescent="0.45">
      <c r="A49" t="s">
        <v>24</v>
      </c>
      <c r="B49" t="s">
        <v>19</v>
      </c>
      <c r="C49" t="s">
        <v>49</v>
      </c>
      <c r="D49" s="16">
        <f>AVERAGEIFS(Q4Forecast[Projected Revenue],Q4Forecast[Category],Q1Forecast[[#This Row],[Category]],Q4Forecast[Region],Q1Forecast[[#This Row],[Region]])</f>
        <v>91345.333333333328</v>
      </c>
      <c r="E49" s="16">
        <f>Q1Forecast[[#This Row],[Base Revenue]]*(1+INDEX(ScenarioInputs[% Change],MATCH("Decrease Demand",ScenarioInputs[Scenario],0)))</f>
        <v>77643.533333333326</v>
      </c>
      <c r="F49" s="16">
        <f>AVERAGEIFS(Q4Forecast[Projected Expenses],Q4Forecast[Category],Q1Forecast[[#This Row],[Category]],Q4Forecast[Region],Q1Forecast[[#This Row],[Region]])</f>
        <v>62123</v>
      </c>
      <c r="G49" s="16">
        <f>AVERAGEIFS(Q4Forecast[Supply Chain Cost],Q4Forecast[Category],Q1Forecast[[#This Row],[Category]],Q4Forecast[Region],Q1Forecast[[#This Row],[Region]])*(1+INDEX(ScenarioInputs[% Change],MATCH("Increase Supply Chain Cost",ScenarioInputs[Scenario],0)))</f>
        <v>23003.566666666666</v>
      </c>
      <c r="H49" s="16">
        <f>AVERAGEIFS(Q4Forecast[Marketing Cost],Q4Forecast[Category],Q1Forecast[[#This Row],[Category]],Q4Forecast[Region],Q1Forecast[[#This Row],[Region]])*(1+INDEX(ScenarioInputs[% Change],MATCH("Increase Marketing Spend",ScenarioInputs[Scenario],0)))</f>
        <v>10962</v>
      </c>
      <c r="I49" s="16">
        <f>AVERAGEIFS(Q4Forecast[Labor Cost],Q4Forecast[Category],Q1Forecast[[#This Row],[Category]],Q4Forecast[Region],Q1Forecast[[#This Row],[Region]])*(1+INDEX(ScenarioInputs[% Change],MATCH("Labor Cost Surge",ScenarioInputs[Scenario],0)))</f>
        <v>12577.973333333335</v>
      </c>
      <c r="J49" s="16">
        <f>SUM(Q1Forecast[[#This Row],[Base Other Expenses]]:Q1Forecast[[#This Row],[Forecast Labor]])</f>
        <v>108666.54000000001</v>
      </c>
      <c r="K49" s="16">
        <f>Q1Forecast[[#This Row],[Forecast Revenue]]-Q1Forecast[[#This Row],[Total Expenses]]</f>
        <v>-31023.006666666683</v>
      </c>
      <c r="L49" s="17">
        <f>IFERROR(Q1Forecast[[#This Row],[Net Income]]/Q1Forecast[[#This Row],[Forecast Revenue]],0)</f>
        <v>-0.39955686371820642</v>
      </c>
      <c r="M49" t="str">
        <f>IF(Q1Forecast[[#This Row],[Total Expenses]]&gt;Q1Forecast[[#This Row],[Forecast Revenue]],"Overspend",IF(Q1Forecast[[#This Row],[Total Expenses]]/Q1Forecast[[#This Row],[Forecast Revenue]]&gt;=0.85,"Watch","Controlled"))</f>
        <v>Overspend</v>
      </c>
      <c r="N49" s="20" t="str">
        <f>IF(MAX(Q1Forecast[[#This Row],[Forecast Supply Chain]]:Q1Forecast[[#This Row],[Forecast Labor]])=Q1Forecast[[#This Row],[Forecast Supply Chain]],"Renegotiate suppliers / consolidate shipments",IF(MAX(Q1Forecast[[#This Row],[Forecast Supply Chain]]:Q1Forecast[[#This Row],[Forecast Labor]])=Q1Forecast[[#This Row],[Forecast Marketing]],"Shift spend to highest-ROI channels","Optimize staffing and overtime"))</f>
        <v>Renegotiate suppliers / consolidate shipments</v>
      </c>
    </row>
  </sheetData>
  <mergeCells count="2">
    <mergeCell ref="A1:N1"/>
    <mergeCell ref="A2:N2"/>
  </mergeCells>
  <conditionalFormatting sqref="M5:M49">
    <cfRule type="expression" dxfId="54" priority="7">
      <formula>$M5="Overspend"</formula>
    </cfRule>
  </conditionalFormatting>
  <conditionalFormatting sqref="M5:M49">
    <cfRule type="expression" dxfId="53" priority="8">
      <formula>$M5="Watch"</formula>
    </cfRule>
  </conditionalFormatting>
  <conditionalFormatting sqref="M5:M49">
    <cfRule type="expression" dxfId="52" priority="9">
      <formula>$M5="Controlled"</formula>
    </cfRule>
  </conditionalFormatting>
  <conditionalFormatting sqref="L5:L49">
    <cfRule type="expression" dxfId="51" priority="10">
      <formula>$L5&lt;0</formula>
    </cfRule>
  </conditionalFormatting>
  <conditionalFormatting sqref="L5:L49">
    <cfRule type="expression" dxfId="50" priority="11">
      <formula>AND($L5&gt;=0,$L5&lt;0.15)</formula>
    </cfRule>
  </conditionalFormatting>
  <conditionalFormatting sqref="L5:L49">
    <cfRule type="expression" dxfId="49" priority="12">
      <formula>$L5&gt;=0.15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workbookViewId="0">
      <selection sqref="A1:J1"/>
    </sheetView>
  </sheetViews>
  <sheetFormatPr defaultRowHeight="14.25" x14ac:dyDescent="0.45"/>
  <cols>
    <col min="1" max="3" width="16.86328125" customWidth="1"/>
    <col min="4" max="8" width="16.33203125" style="16" customWidth="1"/>
    <col min="9" max="9" width="16.33203125" style="17" customWidth="1"/>
    <col min="10" max="10" width="21.33203125" customWidth="1"/>
  </cols>
  <sheetData>
    <row r="1" spans="1:10" ht="23.25" x14ac:dyDescent="0.45">
      <c r="A1" s="9" t="s">
        <v>31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45">
      <c r="A2" s="10" t="s">
        <v>32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x14ac:dyDescent="0.45">
      <c r="A4" s="1" t="s">
        <v>0</v>
      </c>
      <c r="B4" s="1" t="s">
        <v>1</v>
      </c>
      <c r="C4" s="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2" t="s">
        <v>8</v>
      </c>
      <c r="J4" s="1" t="s">
        <v>9</v>
      </c>
    </row>
    <row r="5" spans="1:10" x14ac:dyDescent="0.45">
      <c r="A5" t="s">
        <v>10</v>
      </c>
      <c r="B5" t="s">
        <v>11</v>
      </c>
      <c r="C5" t="s">
        <v>12</v>
      </c>
      <c r="D5" s="16">
        <v>75919</v>
      </c>
      <c r="E5" s="16">
        <v>32931</v>
      </c>
      <c r="F5" s="16">
        <v>22745</v>
      </c>
      <c r="G5" s="16">
        <v>11006</v>
      </c>
      <c r="H5" s="16">
        <v>9695</v>
      </c>
      <c r="I5" s="17">
        <v>0.3</v>
      </c>
      <c r="J5" t="s">
        <v>13</v>
      </c>
    </row>
    <row r="6" spans="1:10" x14ac:dyDescent="0.45">
      <c r="A6" t="s">
        <v>10</v>
      </c>
      <c r="B6" t="s">
        <v>11</v>
      </c>
      <c r="C6" t="s">
        <v>14</v>
      </c>
      <c r="D6" s="16">
        <v>50463</v>
      </c>
      <c r="E6" s="16">
        <v>47137</v>
      </c>
      <c r="F6" s="16">
        <v>22357</v>
      </c>
      <c r="G6" s="16">
        <v>8672</v>
      </c>
      <c r="H6" s="16">
        <v>9764</v>
      </c>
      <c r="I6" s="17">
        <v>0.21</v>
      </c>
      <c r="J6" t="s">
        <v>15</v>
      </c>
    </row>
    <row r="7" spans="1:10" x14ac:dyDescent="0.45">
      <c r="A7" t="s">
        <v>10</v>
      </c>
      <c r="B7" t="s">
        <v>11</v>
      </c>
      <c r="C7" t="s">
        <v>16</v>
      </c>
      <c r="D7" s="16">
        <v>101996</v>
      </c>
      <c r="E7" s="16">
        <v>28020</v>
      </c>
      <c r="F7" s="16">
        <v>24566</v>
      </c>
      <c r="G7" s="16">
        <v>10173</v>
      </c>
      <c r="H7" s="16">
        <v>13100</v>
      </c>
      <c r="I7" s="17">
        <v>0.16</v>
      </c>
      <c r="J7" t="s">
        <v>15</v>
      </c>
    </row>
    <row r="8" spans="1:10" x14ac:dyDescent="0.45">
      <c r="A8" t="s">
        <v>10</v>
      </c>
      <c r="B8" t="s">
        <v>17</v>
      </c>
      <c r="C8" t="s">
        <v>12</v>
      </c>
      <c r="D8" s="16">
        <v>93315</v>
      </c>
      <c r="E8" s="16">
        <v>27911</v>
      </c>
      <c r="F8" s="16">
        <v>6949</v>
      </c>
      <c r="G8" s="16">
        <v>5931</v>
      </c>
      <c r="H8" s="16">
        <v>6107</v>
      </c>
      <c r="I8" s="17">
        <v>0.25</v>
      </c>
      <c r="J8" t="s">
        <v>18</v>
      </c>
    </row>
    <row r="9" spans="1:10" x14ac:dyDescent="0.45">
      <c r="A9" t="s">
        <v>10</v>
      </c>
      <c r="B9" t="s">
        <v>17</v>
      </c>
      <c r="C9" t="s">
        <v>14</v>
      </c>
      <c r="D9" s="16">
        <v>113193</v>
      </c>
      <c r="E9" s="16">
        <v>66475</v>
      </c>
      <c r="F9" s="16">
        <v>10758</v>
      </c>
      <c r="G9" s="16">
        <v>6807</v>
      </c>
      <c r="H9" s="16">
        <v>17931</v>
      </c>
      <c r="I9" s="17">
        <v>0.25</v>
      </c>
      <c r="J9" t="s">
        <v>15</v>
      </c>
    </row>
    <row r="10" spans="1:10" x14ac:dyDescent="0.45">
      <c r="A10" t="s">
        <v>10</v>
      </c>
      <c r="B10" t="s">
        <v>17</v>
      </c>
      <c r="C10" t="s">
        <v>16</v>
      </c>
      <c r="D10" s="16">
        <v>107257</v>
      </c>
      <c r="E10" s="16">
        <v>21383</v>
      </c>
      <c r="F10" s="16">
        <v>12742</v>
      </c>
      <c r="G10" s="16">
        <v>6748</v>
      </c>
      <c r="H10" s="16">
        <v>9075</v>
      </c>
      <c r="I10" s="17">
        <v>0.21</v>
      </c>
      <c r="J10" t="s">
        <v>13</v>
      </c>
    </row>
    <row r="11" spans="1:10" x14ac:dyDescent="0.45">
      <c r="A11" t="s">
        <v>10</v>
      </c>
      <c r="B11" t="s">
        <v>19</v>
      </c>
      <c r="C11" t="s">
        <v>12</v>
      </c>
      <c r="D11" s="16">
        <v>102199</v>
      </c>
      <c r="E11" s="16">
        <v>65058</v>
      </c>
      <c r="F11" s="16">
        <v>5436</v>
      </c>
      <c r="G11" s="16">
        <v>14879</v>
      </c>
      <c r="H11" s="16">
        <v>19654</v>
      </c>
      <c r="I11" s="17">
        <v>0.26</v>
      </c>
      <c r="J11" t="s">
        <v>18</v>
      </c>
    </row>
    <row r="12" spans="1:10" x14ac:dyDescent="0.45">
      <c r="A12" t="s">
        <v>10</v>
      </c>
      <c r="B12" t="s">
        <v>19</v>
      </c>
      <c r="C12" t="s">
        <v>14</v>
      </c>
      <c r="D12" s="16">
        <v>68290</v>
      </c>
      <c r="E12" s="16">
        <v>18575</v>
      </c>
      <c r="F12" s="16">
        <v>22735</v>
      </c>
      <c r="G12" s="16">
        <v>5959</v>
      </c>
      <c r="H12" s="16">
        <v>19660</v>
      </c>
      <c r="I12" s="17">
        <v>0.22</v>
      </c>
      <c r="J12" t="s">
        <v>20</v>
      </c>
    </row>
    <row r="13" spans="1:10" x14ac:dyDescent="0.45">
      <c r="A13" t="s">
        <v>10</v>
      </c>
      <c r="B13" t="s">
        <v>19</v>
      </c>
      <c r="C13" t="s">
        <v>16</v>
      </c>
      <c r="D13" s="16">
        <v>100796</v>
      </c>
      <c r="E13" s="16">
        <v>58281</v>
      </c>
      <c r="F13" s="16">
        <v>23635</v>
      </c>
      <c r="G13" s="16">
        <v>12679</v>
      </c>
      <c r="H13" s="16">
        <v>9985</v>
      </c>
      <c r="I13" s="17">
        <v>0.26</v>
      </c>
      <c r="J13" t="s">
        <v>18</v>
      </c>
    </row>
    <row r="14" spans="1:10" x14ac:dyDescent="0.45">
      <c r="A14" t="s">
        <v>21</v>
      </c>
      <c r="B14" t="s">
        <v>11</v>
      </c>
      <c r="C14" t="s">
        <v>12</v>
      </c>
      <c r="D14" s="16">
        <v>33775</v>
      </c>
      <c r="E14" s="16">
        <v>47019</v>
      </c>
      <c r="F14" s="16">
        <v>23930</v>
      </c>
      <c r="G14" s="16">
        <v>9686</v>
      </c>
      <c r="H14" s="16">
        <v>15274</v>
      </c>
      <c r="I14" s="17">
        <v>0.27</v>
      </c>
      <c r="J14" t="s">
        <v>13</v>
      </c>
    </row>
    <row r="15" spans="1:10" x14ac:dyDescent="0.45">
      <c r="A15" t="s">
        <v>21</v>
      </c>
      <c r="B15" t="s">
        <v>11</v>
      </c>
      <c r="C15" t="s">
        <v>14</v>
      </c>
      <c r="D15" s="16">
        <v>82123</v>
      </c>
      <c r="E15" s="16">
        <v>18848</v>
      </c>
      <c r="F15" s="16">
        <v>23262</v>
      </c>
      <c r="G15" s="16">
        <v>13618</v>
      </c>
      <c r="H15" s="16">
        <v>14010</v>
      </c>
      <c r="I15" s="17">
        <v>0.23</v>
      </c>
      <c r="J15" t="s">
        <v>20</v>
      </c>
    </row>
    <row r="16" spans="1:10" x14ac:dyDescent="0.45">
      <c r="A16" t="s">
        <v>21</v>
      </c>
      <c r="B16" t="s">
        <v>11</v>
      </c>
      <c r="C16" t="s">
        <v>16</v>
      </c>
      <c r="D16" s="16">
        <v>75103</v>
      </c>
      <c r="E16" s="16">
        <v>17998</v>
      </c>
      <c r="F16" s="16">
        <v>7789</v>
      </c>
      <c r="G16" s="16">
        <v>13454</v>
      </c>
      <c r="H16" s="16">
        <v>17449</v>
      </c>
      <c r="I16" s="17">
        <v>0.21</v>
      </c>
      <c r="J16" t="s">
        <v>20</v>
      </c>
    </row>
    <row r="17" spans="1:10" x14ac:dyDescent="0.45">
      <c r="A17" t="s">
        <v>21</v>
      </c>
      <c r="B17" t="s">
        <v>17</v>
      </c>
      <c r="C17" t="s">
        <v>12</v>
      </c>
      <c r="D17" s="16">
        <v>72386</v>
      </c>
      <c r="E17" s="16">
        <v>57554</v>
      </c>
      <c r="F17" s="16">
        <v>21623</v>
      </c>
      <c r="G17" s="16">
        <v>9236</v>
      </c>
      <c r="H17" s="16">
        <v>4907</v>
      </c>
      <c r="I17" s="17">
        <v>0.09</v>
      </c>
      <c r="J17" t="s">
        <v>15</v>
      </c>
    </row>
    <row r="18" spans="1:10" x14ac:dyDescent="0.45">
      <c r="A18" t="s">
        <v>21</v>
      </c>
      <c r="B18" t="s">
        <v>17</v>
      </c>
      <c r="C18" t="s">
        <v>14</v>
      </c>
      <c r="D18" s="16">
        <v>92942</v>
      </c>
      <c r="E18" s="16">
        <v>17467</v>
      </c>
      <c r="F18" s="16">
        <v>9099</v>
      </c>
      <c r="G18" s="16">
        <v>7947</v>
      </c>
      <c r="H18" s="16">
        <v>18676</v>
      </c>
      <c r="I18" s="17">
        <v>0.23</v>
      </c>
      <c r="J18" t="s">
        <v>20</v>
      </c>
    </row>
    <row r="19" spans="1:10" x14ac:dyDescent="0.45">
      <c r="A19" t="s">
        <v>21</v>
      </c>
      <c r="B19" t="s">
        <v>17</v>
      </c>
      <c r="C19" t="s">
        <v>16</v>
      </c>
      <c r="D19" s="16">
        <v>85801</v>
      </c>
      <c r="E19" s="16">
        <v>39508</v>
      </c>
      <c r="F19" s="16">
        <v>5632</v>
      </c>
      <c r="G19" s="16">
        <v>12139</v>
      </c>
      <c r="H19" s="16">
        <v>10406</v>
      </c>
      <c r="I19" s="17">
        <v>0.19</v>
      </c>
      <c r="J19" t="s">
        <v>13</v>
      </c>
    </row>
    <row r="20" spans="1:10" x14ac:dyDescent="0.45">
      <c r="A20" t="s">
        <v>21</v>
      </c>
      <c r="B20" t="s">
        <v>19</v>
      </c>
      <c r="C20" t="s">
        <v>12</v>
      </c>
      <c r="D20" s="16">
        <v>73079</v>
      </c>
      <c r="E20" s="16">
        <v>56317</v>
      </c>
      <c r="F20" s="16">
        <v>17228</v>
      </c>
      <c r="G20" s="16">
        <v>12460</v>
      </c>
      <c r="H20" s="16">
        <v>5699</v>
      </c>
      <c r="I20" s="17">
        <v>0.17</v>
      </c>
      <c r="J20" t="s">
        <v>13</v>
      </c>
    </row>
    <row r="21" spans="1:10" x14ac:dyDescent="0.45">
      <c r="A21" t="s">
        <v>21</v>
      </c>
      <c r="B21" t="s">
        <v>19</v>
      </c>
      <c r="C21" t="s">
        <v>14</v>
      </c>
      <c r="D21" s="16">
        <v>93314</v>
      </c>
      <c r="E21" s="16">
        <v>54865</v>
      </c>
      <c r="F21" s="16">
        <v>14677</v>
      </c>
      <c r="G21" s="16">
        <v>7142</v>
      </c>
      <c r="H21" s="16">
        <v>17955</v>
      </c>
      <c r="I21" s="17">
        <v>0.2</v>
      </c>
      <c r="J21" t="s">
        <v>15</v>
      </c>
    </row>
    <row r="22" spans="1:10" x14ac:dyDescent="0.45">
      <c r="A22" t="s">
        <v>21</v>
      </c>
      <c r="B22" t="s">
        <v>19</v>
      </c>
      <c r="C22" t="s">
        <v>16</v>
      </c>
      <c r="D22" s="16">
        <v>60710</v>
      </c>
      <c r="E22" s="16">
        <v>44469</v>
      </c>
      <c r="F22" s="16">
        <v>20830</v>
      </c>
      <c r="G22" s="16">
        <v>14413</v>
      </c>
      <c r="H22" s="16">
        <v>8474</v>
      </c>
      <c r="I22" s="17">
        <v>0.23</v>
      </c>
      <c r="J22" t="s">
        <v>13</v>
      </c>
    </row>
    <row r="23" spans="1:10" x14ac:dyDescent="0.45">
      <c r="A23" t="s">
        <v>22</v>
      </c>
      <c r="B23" t="s">
        <v>11</v>
      </c>
      <c r="C23" t="s">
        <v>12</v>
      </c>
      <c r="D23" s="16">
        <v>72238</v>
      </c>
      <c r="E23" s="16">
        <v>59415</v>
      </c>
      <c r="F23" s="16">
        <v>22502</v>
      </c>
      <c r="G23" s="16">
        <v>13596</v>
      </c>
      <c r="H23" s="16">
        <v>12903</v>
      </c>
      <c r="I23" s="17">
        <v>0.26</v>
      </c>
      <c r="J23" t="s">
        <v>13</v>
      </c>
    </row>
    <row r="24" spans="1:10" x14ac:dyDescent="0.45">
      <c r="A24" t="s">
        <v>22</v>
      </c>
      <c r="B24" t="s">
        <v>11</v>
      </c>
      <c r="C24" t="s">
        <v>14</v>
      </c>
      <c r="D24" s="16">
        <v>82182</v>
      </c>
      <c r="E24" s="16">
        <v>17265</v>
      </c>
      <c r="F24" s="16">
        <v>15943</v>
      </c>
      <c r="G24" s="16">
        <v>7178</v>
      </c>
      <c r="H24" s="16">
        <v>14829</v>
      </c>
      <c r="I24" s="17">
        <v>0.28999999999999998</v>
      </c>
      <c r="J24" t="s">
        <v>18</v>
      </c>
    </row>
    <row r="25" spans="1:10" x14ac:dyDescent="0.45">
      <c r="A25" t="s">
        <v>22</v>
      </c>
      <c r="B25" t="s">
        <v>11</v>
      </c>
      <c r="C25" t="s">
        <v>16</v>
      </c>
      <c r="D25" s="16">
        <v>106671</v>
      </c>
      <c r="E25" s="16">
        <v>19750</v>
      </c>
      <c r="F25" s="16">
        <v>24839</v>
      </c>
      <c r="G25" s="16">
        <v>3561</v>
      </c>
      <c r="H25" s="16">
        <v>4855</v>
      </c>
      <c r="I25" s="17">
        <v>0.17</v>
      </c>
      <c r="J25" t="s">
        <v>15</v>
      </c>
    </row>
    <row r="26" spans="1:10" x14ac:dyDescent="0.45">
      <c r="A26" t="s">
        <v>22</v>
      </c>
      <c r="B26" t="s">
        <v>17</v>
      </c>
      <c r="C26" t="s">
        <v>12</v>
      </c>
      <c r="D26" s="16">
        <v>113887</v>
      </c>
      <c r="E26" s="16">
        <v>37449</v>
      </c>
      <c r="F26" s="16">
        <v>11548</v>
      </c>
      <c r="G26" s="16">
        <v>8056</v>
      </c>
      <c r="H26" s="16">
        <v>13908</v>
      </c>
      <c r="I26" s="17">
        <v>0.23</v>
      </c>
      <c r="J26" t="s">
        <v>20</v>
      </c>
    </row>
    <row r="27" spans="1:10" x14ac:dyDescent="0.45">
      <c r="A27" t="s">
        <v>22</v>
      </c>
      <c r="B27" t="s">
        <v>17</v>
      </c>
      <c r="C27" t="s">
        <v>14</v>
      </c>
      <c r="D27" s="16">
        <v>105037</v>
      </c>
      <c r="E27" s="16">
        <v>31188</v>
      </c>
      <c r="F27" s="16">
        <v>9909</v>
      </c>
      <c r="G27" s="16">
        <v>11801</v>
      </c>
      <c r="H27" s="16">
        <v>5944</v>
      </c>
      <c r="I27" s="17">
        <v>0.14000000000000001</v>
      </c>
      <c r="J27" t="s">
        <v>20</v>
      </c>
    </row>
    <row r="28" spans="1:10" x14ac:dyDescent="0.45">
      <c r="A28" t="s">
        <v>22</v>
      </c>
      <c r="B28" t="s">
        <v>17</v>
      </c>
      <c r="C28" t="s">
        <v>16</v>
      </c>
      <c r="D28" s="16">
        <v>53177</v>
      </c>
      <c r="E28" s="16">
        <v>44821</v>
      </c>
      <c r="F28" s="16">
        <v>8636</v>
      </c>
      <c r="G28" s="16">
        <v>13307</v>
      </c>
      <c r="H28" s="16">
        <v>13003</v>
      </c>
      <c r="I28" s="17">
        <v>0.16</v>
      </c>
      <c r="J28" t="s">
        <v>18</v>
      </c>
    </row>
    <row r="29" spans="1:10" x14ac:dyDescent="0.45">
      <c r="A29" t="s">
        <v>22</v>
      </c>
      <c r="B29" t="s">
        <v>19</v>
      </c>
      <c r="C29" t="s">
        <v>12</v>
      </c>
      <c r="D29" s="16">
        <v>99316</v>
      </c>
      <c r="E29" s="16">
        <v>58492</v>
      </c>
      <c r="F29" s="16">
        <v>11963</v>
      </c>
      <c r="G29" s="16">
        <v>5318</v>
      </c>
      <c r="H29" s="16">
        <v>13628</v>
      </c>
      <c r="I29" s="17">
        <v>0.28999999999999998</v>
      </c>
      <c r="J29" t="s">
        <v>20</v>
      </c>
    </row>
    <row r="30" spans="1:10" x14ac:dyDescent="0.45">
      <c r="A30" t="s">
        <v>22</v>
      </c>
      <c r="B30" t="s">
        <v>19</v>
      </c>
      <c r="C30" t="s">
        <v>14</v>
      </c>
      <c r="D30" s="16">
        <v>30144</v>
      </c>
      <c r="E30" s="16">
        <v>28254</v>
      </c>
      <c r="F30" s="16">
        <v>18908</v>
      </c>
      <c r="G30" s="16">
        <v>7106</v>
      </c>
      <c r="H30" s="16">
        <v>12382</v>
      </c>
      <c r="I30" s="17">
        <v>0.17</v>
      </c>
      <c r="J30" t="s">
        <v>13</v>
      </c>
    </row>
    <row r="31" spans="1:10" x14ac:dyDescent="0.45">
      <c r="A31" t="s">
        <v>22</v>
      </c>
      <c r="B31" t="s">
        <v>19</v>
      </c>
      <c r="C31" t="s">
        <v>16</v>
      </c>
      <c r="D31" s="16">
        <v>65962</v>
      </c>
      <c r="E31" s="16">
        <v>62339</v>
      </c>
      <c r="F31" s="16">
        <v>10106</v>
      </c>
      <c r="G31" s="16">
        <v>13727</v>
      </c>
      <c r="H31" s="16">
        <v>19341</v>
      </c>
      <c r="I31" s="17">
        <v>0.16</v>
      </c>
      <c r="J31" t="s">
        <v>20</v>
      </c>
    </row>
    <row r="32" spans="1:10" x14ac:dyDescent="0.45">
      <c r="A32" t="s">
        <v>23</v>
      </c>
      <c r="B32" t="s">
        <v>11</v>
      </c>
      <c r="C32" t="s">
        <v>12</v>
      </c>
      <c r="D32" s="16">
        <v>84348</v>
      </c>
      <c r="E32" s="16">
        <v>43226</v>
      </c>
      <c r="F32" s="16">
        <v>11376</v>
      </c>
      <c r="G32" s="16">
        <v>5614</v>
      </c>
      <c r="H32" s="16">
        <v>10801</v>
      </c>
      <c r="I32" s="17">
        <v>0.17</v>
      </c>
      <c r="J32" t="s">
        <v>15</v>
      </c>
    </row>
    <row r="33" spans="1:10" x14ac:dyDescent="0.45">
      <c r="A33" t="s">
        <v>23</v>
      </c>
      <c r="B33" t="s">
        <v>11</v>
      </c>
      <c r="C33" t="s">
        <v>14</v>
      </c>
      <c r="D33" s="16">
        <v>46130</v>
      </c>
      <c r="E33" s="16">
        <v>77032</v>
      </c>
      <c r="F33" s="16">
        <v>19146</v>
      </c>
      <c r="G33" s="16">
        <v>13328</v>
      </c>
      <c r="H33" s="16">
        <v>4591</v>
      </c>
      <c r="I33" s="17">
        <v>0.12</v>
      </c>
      <c r="J33" t="s">
        <v>20</v>
      </c>
    </row>
    <row r="34" spans="1:10" x14ac:dyDescent="0.45">
      <c r="A34" t="s">
        <v>23</v>
      </c>
      <c r="B34" t="s">
        <v>11</v>
      </c>
      <c r="C34" t="s">
        <v>16</v>
      </c>
      <c r="D34" s="16">
        <v>118412</v>
      </c>
      <c r="E34" s="16">
        <v>56514</v>
      </c>
      <c r="F34" s="16">
        <v>5022</v>
      </c>
      <c r="G34" s="16">
        <v>12593</v>
      </c>
      <c r="H34" s="16">
        <v>14484</v>
      </c>
      <c r="I34" s="17">
        <v>0.12</v>
      </c>
      <c r="J34" t="s">
        <v>15</v>
      </c>
    </row>
    <row r="35" spans="1:10" x14ac:dyDescent="0.45">
      <c r="A35" t="s">
        <v>23</v>
      </c>
      <c r="B35" t="s">
        <v>17</v>
      </c>
      <c r="C35" t="s">
        <v>12</v>
      </c>
      <c r="D35" s="16">
        <v>78054</v>
      </c>
      <c r="E35" s="16">
        <v>60127</v>
      </c>
      <c r="F35" s="16">
        <v>24963</v>
      </c>
      <c r="G35" s="16">
        <v>4992</v>
      </c>
      <c r="H35" s="16">
        <v>4208</v>
      </c>
      <c r="I35" s="17">
        <v>0.24</v>
      </c>
      <c r="J35" t="s">
        <v>18</v>
      </c>
    </row>
    <row r="36" spans="1:10" x14ac:dyDescent="0.45">
      <c r="A36" t="s">
        <v>23</v>
      </c>
      <c r="B36" t="s">
        <v>17</v>
      </c>
      <c r="C36" t="s">
        <v>14</v>
      </c>
      <c r="D36" s="16">
        <v>69487</v>
      </c>
      <c r="E36" s="16">
        <v>49280</v>
      </c>
      <c r="F36" s="16">
        <v>13551</v>
      </c>
      <c r="G36" s="16">
        <v>12424</v>
      </c>
      <c r="H36" s="16">
        <v>5446</v>
      </c>
      <c r="I36" s="17">
        <v>0.28000000000000003</v>
      </c>
      <c r="J36" t="s">
        <v>13</v>
      </c>
    </row>
    <row r="37" spans="1:10" x14ac:dyDescent="0.45">
      <c r="A37" t="s">
        <v>23</v>
      </c>
      <c r="B37" t="s">
        <v>17</v>
      </c>
      <c r="C37" t="s">
        <v>16</v>
      </c>
      <c r="D37" s="16">
        <v>106660</v>
      </c>
      <c r="E37" s="16">
        <v>43835</v>
      </c>
      <c r="F37" s="16">
        <v>22945</v>
      </c>
      <c r="G37" s="16">
        <v>3075</v>
      </c>
      <c r="H37" s="16">
        <v>10600</v>
      </c>
      <c r="I37" s="17">
        <v>0.21</v>
      </c>
      <c r="J37" t="s">
        <v>13</v>
      </c>
    </row>
    <row r="38" spans="1:10" x14ac:dyDescent="0.45">
      <c r="A38" t="s">
        <v>23</v>
      </c>
      <c r="B38" t="s">
        <v>19</v>
      </c>
      <c r="C38" t="s">
        <v>12</v>
      </c>
      <c r="D38" s="16">
        <v>64161</v>
      </c>
      <c r="E38" s="16">
        <v>58899</v>
      </c>
      <c r="F38" s="16">
        <v>8890</v>
      </c>
      <c r="G38" s="16">
        <v>5710</v>
      </c>
      <c r="H38" s="16">
        <v>10245</v>
      </c>
      <c r="I38" s="17">
        <v>0.21</v>
      </c>
      <c r="J38" t="s">
        <v>20</v>
      </c>
    </row>
    <row r="39" spans="1:10" x14ac:dyDescent="0.45">
      <c r="A39" t="s">
        <v>23</v>
      </c>
      <c r="B39" t="s">
        <v>19</v>
      </c>
      <c r="C39" t="s">
        <v>14</v>
      </c>
      <c r="D39" s="16">
        <v>59306</v>
      </c>
      <c r="E39" s="16">
        <v>48793</v>
      </c>
      <c r="F39" s="16">
        <v>8621</v>
      </c>
      <c r="G39" s="16">
        <v>9179</v>
      </c>
      <c r="H39" s="16">
        <v>13002</v>
      </c>
      <c r="I39" s="17">
        <v>0.21</v>
      </c>
      <c r="J39" t="s">
        <v>18</v>
      </c>
    </row>
    <row r="40" spans="1:10" x14ac:dyDescent="0.45">
      <c r="A40" t="s">
        <v>23</v>
      </c>
      <c r="B40" t="s">
        <v>19</v>
      </c>
      <c r="C40" t="s">
        <v>16</v>
      </c>
      <c r="D40" s="16">
        <v>70044</v>
      </c>
      <c r="E40" s="16">
        <v>21321</v>
      </c>
      <c r="F40" s="16">
        <v>23511</v>
      </c>
      <c r="G40" s="16">
        <v>8205</v>
      </c>
      <c r="H40" s="16">
        <v>17827</v>
      </c>
      <c r="I40" s="17">
        <v>0.08</v>
      </c>
      <c r="J40" t="s">
        <v>15</v>
      </c>
    </row>
    <row r="41" spans="1:10" x14ac:dyDescent="0.45">
      <c r="A41" t="s">
        <v>24</v>
      </c>
      <c r="B41" t="s">
        <v>11</v>
      </c>
      <c r="C41" t="s">
        <v>12</v>
      </c>
      <c r="D41" s="16">
        <v>55054</v>
      </c>
      <c r="E41" s="16">
        <v>27899</v>
      </c>
      <c r="F41" s="16">
        <v>12015</v>
      </c>
      <c r="G41" s="16">
        <v>3982</v>
      </c>
      <c r="H41" s="16">
        <v>5781</v>
      </c>
      <c r="I41" s="17">
        <v>0.16</v>
      </c>
      <c r="J41" t="s">
        <v>13</v>
      </c>
    </row>
    <row r="42" spans="1:10" x14ac:dyDescent="0.45">
      <c r="A42" t="s">
        <v>24</v>
      </c>
      <c r="B42" t="s">
        <v>11</v>
      </c>
      <c r="C42" t="s">
        <v>14</v>
      </c>
      <c r="D42" s="16">
        <v>110452</v>
      </c>
      <c r="E42" s="16">
        <v>36905</v>
      </c>
      <c r="F42" s="16">
        <v>13594</v>
      </c>
      <c r="G42" s="16">
        <v>3444</v>
      </c>
      <c r="H42" s="16">
        <v>13043</v>
      </c>
      <c r="I42" s="17">
        <v>0.22</v>
      </c>
      <c r="J42" t="s">
        <v>13</v>
      </c>
    </row>
    <row r="43" spans="1:10" x14ac:dyDescent="0.45">
      <c r="A43" t="s">
        <v>24</v>
      </c>
      <c r="B43" t="s">
        <v>11</v>
      </c>
      <c r="C43" t="s">
        <v>16</v>
      </c>
      <c r="D43" s="16">
        <v>31788</v>
      </c>
      <c r="E43" s="16">
        <v>66106</v>
      </c>
      <c r="F43" s="16">
        <v>19924</v>
      </c>
      <c r="G43" s="16">
        <v>9750</v>
      </c>
      <c r="H43" s="16">
        <v>13209</v>
      </c>
      <c r="I43" s="17">
        <v>0.13</v>
      </c>
      <c r="J43" t="s">
        <v>15</v>
      </c>
    </row>
    <row r="44" spans="1:10" x14ac:dyDescent="0.45">
      <c r="A44" t="s">
        <v>24</v>
      </c>
      <c r="B44" t="s">
        <v>17</v>
      </c>
      <c r="C44" t="s">
        <v>12</v>
      </c>
      <c r="D44" s="16">
        <v>84261</v>
      </c>
      <c r="E44" s="16">
        <v>53729</v>
      </c>
      <c r="F44" s="16">
        <v>11203</v>
      </c>
      <c r="G44" s="16">
        <v>7598</v>
      </c>
      <c r="H44" s="16">
        <v>16741</v>
      </c>
      <c r="I44" s="17">
        <v>0.08</v>
      </c>
      <c r="J44" t="s">
        <v>18</v>
      </c>
    </row>
    <row r="45" spans="1:10" x14ac:dyDescent="0.45">
      <c r="A45" t="s">
        <v>24</v>
      </c>
      <c r="B45" t="s">
        <v>17</v>
      </c>
      <c r="C45" t="s">
        <v>14</v>
      </c>
      <c r="D45" s="16">
        <v>95049</v>
      </c>
      <c r="E45" s="16">
        <v>58726</v>
      </c>
      <c r="F45" s="16">
        <v>8402</v>
      </c>
      <c r="G45" s="16">
        <v>14851</v>
      </c>
      <c r="H45" s="16">
        <v>6337</v>
      </c>
      <c r="I45" s="17">
        <v>0.17</v>
      </c>
      <c r="J45" t="s">
        <v>18</v>
      </c>
    </row>
    <row r="46" spans="1:10" x14ac:dyDescent="0.45">
      <c r="A46" t="s">
        <v>24</v>
      </c>
      <c r="B46" t="s">
        <v>17</v>
      </c>
      <c r="C46" t="s">
        <v>16</v>
      </c>
      <c r="D46" s="16">
        <v>84994</v>
      </c>
      <c r="E46" s="16">
        <v>19254</v>
      </c>
      <c r="F46" s="16">
        <v>14987</v>
      </c>
      <c r="G46" s="16">
        <v>3430</v>
      </c>
      <c r="H46" s="16">
        <v>5821</v>
      </c>
      <c r="I46" s="17">
        <v>0.23</v>
      </c>
      <c r="J46" t="s">
        <v>15</v>
      </c>
    </row>
    <row r="47" spans="1:10" x14ac:dyDescent="0.45">
      <c r="A47" t="s">
        <v>24</v>
      </c>
      <c r="B47" t="s">
        <v>19</v>
      </c>
      <c r="C47" t="s">
        <v>12</v>
      </c>
      <c r="D47" s="16">
        <v>89931</v>
      </c>
      <c r="E47" s="16">
        <v>79465</v>
      </c>
      <c r="F47" s="16">
        <v>22351</v>
      </c>
      <c r="G47" s="16">
        <v>7334</v>
      </c>
      <c r="H47" s="16">
        <v>4606</v>
      </c>
      <c r="I47" s="17">
        <v>0.08</v>
      </c>
      <c r="J47" t="s">
        <v>15</v>
      </c>
    </row>
    <row r="48" spans="1:10" x14ac:dyDescent="0.45">
      <c r="A48" t="s">
        <v>24</v>
      </c>
      <c r="B48" t="s">
        <v>19</v>
      </c>
      <c r="C48" t="s">
        <v>14</v>
      </c>
      <c r="D48" s="16">
        <v>94029</v>
      </c>
      <c r="E48" s="16">
        <v>79902</v>
      </c>
      <c r="F48" s="16">
        <v>16574</v>
      </c>
      <c r="G48" s="16">
        <v>14068</v>
      </c>
      <c r="H48" s="16">
        <v>13862</v>
      </c>
      <c r="I48" s="17">
        <v>0.08</v>
      </c>
      <c r="J48" t="s">
        <v>15</v>
      </c>
    </row>
    <row r="49" spans="1:10" x14ac:dyDescent="0.45">
      <c r="A49" t="s">
        <v>24</v>
      </c>
      <c r="B49" t="s">
        <v>19</v>
      </c>
      <c r="C49" t="s">
        <v>16</v>
      </c>
      <c r="D49" s="16">
        <v>90076</v>
      </c>
      <c r="E49" s="16">
        <v>27002</v>
      </c>
      <c r="F49" s="16">
        <v>23812</v>
      </c>
      <c r="G49" s="16">
        <v>9048</v>
      </c>
      <c r="H49" s="16">
        <v>15223</v>
      </c>
      <c r="I49" s="17">
        <v>0.09</v>
      </c>
      <c r="J49" t="s">
        <v>20</v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sqref="A1:B1"/>
    </sheetView>
  </sheetViews>
  <sheetFormatPr defaultRowHeight="14.25" x14ac:dyDescent="0.45"/>
  <cols>
    <col min="1" max="1" width="37.33203125" customWidth="1"/>
    <col min="2" max="2" width="16" customWidth="1"/>
  </cols>
  <sheetData>
    <row r="1" spans="1:2" ht="23.25" x14ac:dyDescent="0.45">
      <c r="A1" s="9" t="s">
        <v>33</v>
      </c>
      <c r="B1" s="9"/>
    </row>
    <row r="2" spans="1:2" x14ac:dyDescent="0.45">
      <c r="A2" s="10" t="s">
        <v>92</v>
      </c>
      <c r="B2" s="10"/>
    </row>
    <row r="4" spans="1:2" x14ac:dyDescent="0.45">
      <c r="A4" s="1" t="s">
        <v>25</v>
      </c>
      <c r="B4" s="1" t="s">
        <v>26</v>
      </c>
    </row>
    <row r="5" spans="1:2" x14ac:dyDescent="0.45">
      <c r="A5" t="s">
        <v>27</v>
      </c>
      <c r="B5" s="17">
        <v>0.1</v>
      </c>
    </row>
    <row r="6" spans="1:2" x14ac:dyDescent="0.45">
      <c r="A6" t="s">
        <v>28</v>
      </c>
      <c r="B6" s="17">
        <v>-0.15</v>
      </c>
    </row>
    <row r="7" spans="1:2" x14ac:dyDescent="0.45">
      <c r="A7" t="s">
        <v>29</v>
      </c>
      <c r="B7" s="17">
        <v>0.08</v>
      </c>
    </row>
    <row r="8" spans="1:2" x14ac:dyDescent="0.45">
      <c r="A8" t="s">
        <v>30</v>
      </c>
      <c r="B8" s="17">
        <v>0.12</v>
      </c>
    </row>
  </sheetData>
  <mergeCells count="2">
    <mergeCell ref="A1:B1"/>
    <mergeCell ref="A2:B2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EB89-952A-49D4-963F-6B963341E3E7}">
  <dimension ref="A1:H31"/>
  <sheetViews>
    <sheetView tabSelected="1" workbookViewId="0">
      <selection sqref="A1:H1"/>
    </sheetView>
  </sheetViews>
  <sheetFormatPr defaultRowHeight="14.25" x14ac:dyDescent="0.45"/>
  <cols>
    <col min="1" max="1" width="19.53125" style="40" customWidth="1"/>
    <col min="2" max="8" width="16.86328125" style="37" customWidth="1"/>
  </cols>
  <sheetData>
    <row r="1" spans="1:8" ht="23.25" x14ac:dyDescent="0.45">
      <c r="A1" s="41" t="s">
        <v>93</v>
      </c>
      <c r="B1" s="41"/>
      <c r="C1" s="41"/>
      <c r="D1" s="41"/>
      <c r="E1" s="41"/>
      <c r="F1" s="41"/>
      <c r="G1" s="41"/>
      <c r="H1" s="41"/>
    </row>
    <row r="2" spans="1:8" ht="32" customHeight="1" x14ac:dyDescent="0.45">
      <c r="A2" s="42" t="s">
        <v>94</v>
      </c>
      <c r="B2" s="42"/>
      <c r="C2" s="42"/>
      <c r="D2" s="42"/>
      <c r="E2" s="42"/>
      <c r="F2" s="42"/>
      <c r="G2" s="42"/>
      <c r="H2" s="42"/>
    </row>
    <row r="3" spans="1:8" x14ac:dyDescent="0.45">
      <c r="A3" s="38"/>
      <c r="B3" s="29"/>
      <c r="C3" s="29"/>
      <c r="D3" s="29"/>
      <c r="E3" s="29"/>
      <c r="F3" s="29"/>
      <c r="G3" s="29"/>
      <c r="H3" s="29"/>
    </row>
    <row r="4" spans="1:8" x14ac:dyDescent="0.45">
      <c r="A4" s="26" t="s">
        <v>95</v>
      </c>
      <c r="B4" s="26"/>
      <c r="C4" s="26"/>
      <c r="D4" s="26"/>
      <c r="E4" s="26"/>
      <c r="F4" s="26"/>
      <c r="G4" s="26"/>
      <c r="H4" s="26"/>
    </row>
    <row r="5" spans="1:8" x14ac:dyDescent="0.45">
      <c r="A5" s="39" t="s">
        <v>96</v>
      </c>
      <c r="B5" s="43">
        <v>-0.1</v>
      </c>
      <c r="C5" s="29"/>
      <c r="D5" s="29"/>
      <c r="E5" s="29"/>
      <c r="F5" s="29"/>
      <c r="G5" s="29"/>
      <c r="H5" s="29"/>
    </row>
    <row r="6" spans="1:8" x14ac:dyDescent="0.45">
      <c r="A6" s="39" t="s">
        <v>97</v>
      </c>
      <c r="B6" s="44" t="s">
        <v>98</v>
      </c>
      <c r="C6" s="31"/>
      <c r="D6" s="31"/>
      <c r="E6" s="31"/>
      <c r="F6" s="31"/>
      <c r="G6" s="31"/>
      <c r="H6" s="31"/>
    </row>
    <row r="7" spans="1:8" x14ac:dyDescent="0.45">
      <c r="A7" s="38"/>
      <c r="B7" s="29"/>
      <c r="C7" s="29"/>
      <c r="D7" s="29"/>
      <c r="E7" s="29"/>
      <c r="F7" s="29"/>
      <c r="G7" s="29"/>
      <c r="H7" s="29"/>
    </row>
    <row r="8" spans="1:8" x14ac:dyDescent="0.45">
      <c r="A8" s="24" t="s">
        <v>99</v>
      </c>
      <c r="B8" s="24"/>
      <c r="C8" s="32" t="s">
        <v>100</v>
      </c>
      <c r="D8" s="32"/>
      <c r="E8" s="32" t="s">
        <v>101</v>
      </c>
      <c r="F8" s="32"/>
      <c r="G8" s="32" t="s">
        <v>102</v>
      </c>
      <c r="H8" s="32"/>
    </row>
    <row r="9" spans="1:8" x14ac:dyDescent="0.45">
      <c r="A9" s="25">
        <f>SUM(Q1Forecast[Net Income])</f>
        <v>-707992.89000000025</v>
      </c>
      <c r="B9" s="25"/>
      <c r="C9" s="33">
        <f>SUM(Q1Forecast[Forecast Revenue])*(1+$B$5)-SUM(Q1Forecast[Total Expenses])</f>
        <v>-1017691.3250000007</v>
      </c>
      <c r="D9" s="33"/>
      <c r="E9" s="33">
        <f>C9-A9</f>
        <v>-309698.43500000041</v>
      </c>
      <c r="F9" s="33"/>
      <c r="G9" s="34">
        <f>IFERROR(E9/ABS(A9),0)</f>
        <v>-0.4374315609299414</v>
      </c>
      <c r="H9" s="34"/>
    </row>
    <row r="10" spans="1:8" x14ac:dyDescent="0.45">
      <c r="A10" s="25"/>
      <c r="B10" s="25"/>
      <c r="C10" s="33"/>
      <c r="D10" s="33"/>
      <c r="E10" s="33"/>
      <c r="F10" s="33"/>
      <c r="G10" s="34"/>
      <c r="H10" s="34"/>
    </row>
    <row r="11" spans="1:8" x14ac:dyDescent="0.45">
      <c r="A11" s="38"/>
      <c r="B11" s="29"/>
      <c r="C11" s="29"/>
      <c r="D11" s="29"/>
      <c r="E11" s="29"/>
      <c r="F11" s="29"/>
      <c r="G11" s="29"/>
      <c r="H11" s="29"/>
    </row>
    <row r="12" spans="1:8" x14ac:dyDescent="0.45">
      <c r="A12" s="26" t="s">
        <v>103</v>
      </c>
      <c r="B12" s="26"/>
      <c r="C12" s="26"/>
      <c r="D12" s="26"/>
      <c r="E12" s="26"/>
      <c r="F12" s="26"/>
      <c r="G12" s="26"/>
      <c r="H12" s="26"/>
    </row>
    <row r="13" spans="1:8" x14ac:dyDescent="0.45">
      <c r="A13" s="39" t="s">
        <v>1</v>
      </c>
      <c r="B13" s="45" t="s">
        <v>104</v>
      </c>
      <c r="C13" s="45" t="s">
        <v>105</v>
      </c>
      <c r="D13" s="45" t="s">
        <v>99</v>
      </c>
      <c r="E13" s="45" t="s">
        <v>106</v>
      </c>
      <c r="F13" s="45" t="s">
        <v>100</v>
      </c>
      <c r="G13" s="45" t="s">
        <v>107</v>
      </c>
      <c r="H13" s="45" t="s">
        <v>102</v>
      </c>
    </row>
    <row r="14" spans="1:8" x14ac:dyDescent="0.45">
      <c r="A14" s="38" t="s">
        <v>11</v>
      </c>
      <c r="B14" s="35">
        <f>SUMIFS(Q1Forecast[Forecast Revenue],Q1Forecast[Region],SalesDropRegionImpact[[#This Row],[Region]])</f>
        <v>957655.90000000014</v>
      </c>
      <c r="C14" s="35">
        <f>SUMIFS(Q1Forecast[Total Expenses],Q1Forecast[Region],SalesDropRegionImpact[[#This Row],[Region]])</f>
        <v>1237445.9600000004</v>
      </c>
      <c r="D14" s="35">
        <f>SalesDropRegionImpact[[#This Row],[Current Sales]]-SalesDropRegionImpact[[#This Row],[Current Expenses]]</f>
        <v>-279790.06000000029</v>
      </c>
      <c r="E14" s="35">
        <f>SalesDropRegionImpact[[#This Row],[Current Sales]]*(1+$B$5)</f>
        <v>861890.31000000017</v>
      </c>
      <c r="F14" s="35">
        <f>SalesDropRegionImpact[[#This Row],[10% Drop Sales]]-SalesDropRegionImpact[[#This Row],[Current Expenses]]</f>
        <v>-375555.65000000026</v>
      </c>
      <c r="G14" s="36">
        <f>SalesDropRegionImpact[[#This Row],[10% Drop Cash Flow]]-SalesDropRegionImpact[[#This Row],[Current Cash Flow]]</f>
        <v>-95765.589999999967</v>
      </c>
      <c r="H14" s="30">
        <f>IFERROR(SalesDropRegionImpact[[#This Row],[Cash Flow Impact]]/ABS(SalesDropRegionImpact[[#This Row],[Current Cash Flow]]),0)</f>
        <v>-0.34227659838952057</v>
      </c>
    </row>
    <row r="15" spans="1:8" x14ac:dyDescent="0.45">
      <c r="A15" s="38" t="s">
        <v>17</v>
      </c>
      <c r="B15" s="35">
        <f>SUMIFS(Q1Forecast[Forecast Revenue],Q1Forecast[Region],SalesDropRegionImpact[[#This Row],[Region]])</f>
        <v>1152175</v>
      </c>
      <c r="C15" s="35">
        <f>SUMIFS(Q1Forecast[Total Expenses],Q1Forecast[Region],SalesDropRegionImpact[[#This Row],[Region]])</f>
        <v>1146561.26</v>
      </c>
      <c r="D15" s="35">
        <f>SalesDropRegionImpact[[#This Row],[Current Sales]]-SalesDropRegionImpact[[#This Row],[Current Expenses]]</f>
        <v>5613.7399999999907</v>
      </c>
      <c r="E15" s="35">
        <f>SalesDropRegionImpact[[#This Row],[Current Sales]]*(1+$B$5)</f>
        <v>1036957.5</v>
      </c>
      <c r="F15" s="35">
        <f>SalesDropRegionImpact[[#This Row],[10% Drop Sales]]-SalesDropRegionImpact[[#This Row],[Current Expenses]]</f>
        <v>-109603.76000000001</v>
      </c>
      <c r="G15" s="36">
        <f>SalesDropRegionImpact[[#This Row],[10% Drop Cash Flow]]-SalesDropRegionImpact[[#This Row],[Current Cash Flow]]</f>
        <v>-115217.5</v>
      </c>
      <c r="H15" s="30">
        <f>IFERROR(SalesDropRegionImpact[[#This Row],[Cash Flow Impact]]/ABS(SalesDropRegionImpact[[#This Row],[Current Cash Flow]]),0)</f>
        <v>-20.524195990551789</v>
      </c>
    </row>
    <row r="16" spans="1:8" x14ac:dyDescent="0.45">
      <c r="A16" s="38" t="s">
        <v>19</v>
      </c>
      <c r="B16" s="35">
        <f>SUMIFS(Q1Forecast[Forecast Revenue],Q1Forecast[Region],SalesDropRegionImpact[[#This Row],[Region]])</f>
        <v>987153.45</v>
      </c>
      <c r="C16" s="35">
        <f>SUMIFS(Q1Forecast[Total Expenses],Q1Forecast[Region],SalesDropRegionImpact[[#This Row],[Region]])</f>
        <v>1420970.0200000003</v>
      </c>
      <c r="D16" s="35">
        <f>SalesDropRegionImpact[[#This Row],[Current Sales]]-SalesDropRegionImpact[[#This Row],[Current Expenses]]</f>
        <v>-433816.5700000003</v>
      </c>
      <c r="E16" s="35">
        <f>SalesDropRegionImpact[[#This Row],[Current Sales]]*(1+$B$5)</f>
        <v>888438.10499999998</v>
      </c>
      <c r="F16" s="35">
        <f>SalesDropRegionImpact[[#This Row],[10% Drop Sales]]-SalesDropRegionImpact[[#This Row],[Current Expenses]]</f>
        <v>-532531.91500000027</v>
      </c>
      <c r="G16" s="36">
        <f>SalesDropRegionImpact[[#This Row],[10% Drop Cash Flow]]-SalesDropRegionImpact[[#This Row],[Current Cash Flow]]</f>
        <v>-98715.344999999972</v>
      </c>
      <c r="H16" s="30">
        <f>IFERROR(SalesDropRegionImpact[[#This Row],[Cash Flow Impact]]/ABS(SalesDropRegionImpact[[#This Row],[Current Cash Flow]]),0)</f>
        <v>-0.22755088631123496</v>
      </c>
    </row>
    <row r="17" spans="1:8" x14ac:dyDescent="0.45">
      <c r="A17" s="38"/>
      <c r="B17" s="29"/>
      <c r="C17" s="29"/>
      <c r="D17" s="29"/>
      <c r="E17" s="29"/>
      <c r="F17" s="29"/>
      <c r="G17" s="29"/>
      <c r="H17" s="29"/>
    </row>
    <row r="18" spans="1:8" x14ac:dyDescent="0.45">
      <c r="A18" s="38"/>
      <c r="B18" s="29"/>
      <c r="C18" s="29"/>
      <c r="D18" s="29"/>
      <c r="E18" s="29"/>
      <c r="F18" s="29"/>
      <c r="G18" s="29"/>
      <c r="H18" s="29"/>
    </row>
    <row r="19" spans="1:8" x14ac:dyDescent="0.45">
      <c r="A19" s="26" t="s">
        <v>108</v>
      </c>
      <c r="B19" s="26"/>
      <c r="C19" s="26"/>
      <c r="D19" s="26"/>
      <c r="E19" s="26"/>
      <c r="F19" s="26"/>
      <c r="G19" s="26"/>
      <c r="H19" s="26"/>
    </row>
    <row r="20" spans="1:8" x14ac:dyDescent="0.45">
      <c r="A20" s="39" t="s">
        <v>0</v>
      </c>
      <c r="B20" s="45" t="s">
        <v>104</v>
      </c>
      <c r="C20" s="45" t="s">
        <v>105</v>
      </c>
      <c r="D20" s="45" t="s">
        <v>99</v>
      </c>
      <c r="E20" s="45" t="s">
        <v>106</v>
      </c>
      <c r="F20" s="45" t="s">
        <v>100</v>
      </c>
      <c r="G20" s="45" t="s">
        <v>107</v>
      </c>
      <c r="H20" s="45" t="s">
        <v>102</v>
      </c>
    </row>
    <row r="21" spans="1:8" x14ac:dyDescent="0.45">
      <c r="A21" s="38" t="s">
        <v>10</v>
      </c>
      <c r="B21" s="35">
        <f>SUMIFS(Q1Forecast[Forecast Revenue],Q1Forecast[Category],SalesDropCategoryImpact[[#This Row],[Category]])</f>
        <v>691413.8</v>
      </c>
      <c r="C21" s="35">
        <f>SUMIFS(Q1Forecast[Total Expenses],Q1Forecast[Category],SalesDropCategoryImpact[[#This Row],[Category]])</f>
        <v>751136.14</v>
      </c>
      <c r="D21" s="35">
        <f>SalesDropCategoryImpact[[#This Row],[Current Sales]]-SalesDropCategoryImpact[[#This Row],[Current Expenses]]</f>
        <v>-59722.339999999967</v>
      </c>
      <c r="E21" s="35">
        <f>SalesDropCategoryImpact[[#This Row],[Current Sales]]*(1+$B$5)</f>
        <v>622272.42000000004</v>
      </c>
      <c r="F21" s="35">
        <f>SalesDropCategoryImpact[[#This Row],[10% Drop Sales]]-SalesDropCategoryImpact[[#This Row],[Current Expenses]]</f>
        <v>-128863.71999999997</v>
      </c>
      <c r="G21" s="36">
        <f>SalesDropCategoryImpact[[#This Row],[10% Drop Cash Flow]]-SalesDropCategoryImpact[[#This Row],[Current Cash Flow]]</f>
        <v>-69141.38</v>
      </c>
      <c r="H21" s="30">
        <f>IFERROR(SalesDropCategoryImpact[[#This Row],[Cash Flow Impact]]/ABS(SalesDropCategoryImpact[[#This Row],[Current Cash Flow]]),0)</f>
        <v>-1.1577138471131581</v>
      </c>
    </row>
    <row r="22" spans="1:8" x14ac:dyDescent="0.45">
      <c r="A22" s="38" t="s">
        <v>21</v>
      </c>
      <c r="B22" s="35">
        <f>SUMIFS(Q1Forecast[Forecast Revenue],Q1Forecast[Category],SalesDropCategoryImpact[[#This Row],[Category]])</f>
        <v>568848.04999999993</v>
      </c>
      <c r="C22" s="35">
        <f>SUMIFS(Q1Forecast[Total Expenses],Q1Forecast[Category],SalesDropCategoryImpact[[#This Row],[Category]])</f>
        <v>747016.6</v>
      </c>
      <c r="D22" s="35">
        <f>SalesDropCategoryImpact[[#This Row],[Current Sales]]-SalesDropCategoryImpact[[#This Row],[Current Expenses]]</f>
        <v>-178168.55000000005</v>
      </c>
      <c r="E22" s="35">
        <f>SalesDropCategoryImpact[[#This Row],[Current Sales]]*(1+$B$5)</f>
        <v>511963.24499999994</v>
      </c>
      <c r="F22" s="35">
        <f>SalesDropCategoryImpact[[#This Row],[10% Drop Sales]]-SalesDropCategoryImpact[[#This Row],[Current Expenses]]</f>
        <v>-235053.35500000004</v>
      </c>
      <c r="G22" s="36">
        <f>SalesDropCategoryImpact[[#This Row],[10% Drop Cash Flow]]-SalesDropCategoryImpact[[#This Row],[Current Cash Flow]]</f>
        <v>-56884.804999999993</v>
      </c>
      <c r="H22" s="30">
        <f>IFERROR(SalesDropCategoryImpact[[#This Row],[Cash Flow Impact]]/ABS(SalesDropCategoryImpact[[#This Row],[Current Cash Flow]]),0)</f>
        <v>-0.31927523123469309</v>
      </c>
    </row>
    <row r="23" spans="1:8" x14ac:dyDescent="0.45">
      <c r="A23" s="38" t="s">
        <v>22</v>
      </c>
      <c r="B23" s="35">
        <f>SUMIFS(Q1Forecast[Forecast Revenue],Q1Forecast[Category],SalesDropCategoryImpact[[#This Row],[Category]])</f>
        <v>619321.89999999991</v>
      </c>
      <c r="C23" s="35">
        <f>SUMIFS(Q1Forecast[Total Expenses],Q1Forecast[Category],SalesDropCategoryImpact[[#This Row],[Category]])</f>
        <v>721192.56</v>
      </c>
      <c r="D23" s="35">
        <f>SalesDropCategoryImpact[[#This Row],[Current Sales]]-SalesDropCategoryImpact[[#This Row],[Current Expenses]]</f>
        <v>-101870.66000000015</v>
      </c>
      <c r="E23" s="35">
        <f>SalesDropCategoryImpact[[#This Row],[Current Sales]]*(1+$B$5)</f>
        <v>557389.71</v>
      </c>
      <c r="F23" s="35">
        <f>SalesDropCategoryImpact[[#This Row],[10% Drop Sales]]-SalesDropCategoryImpact[[#This Row],[Current Expenses]]</f>
        <v>-163802.85000000009</v>
      </c>
      <c r="G23" s="36">
        <f>SalesDropCategoryImpact[[#This Row],[10% Drop Cash Flow]]-SalesDropCategoryImpact[[#This Row],[Current Cash Flow]]</f>
        <v>-61932.189999999944</v>
      </c>
      <c r="H23" s="30">
        <f>IFERROR(SalesDropCategoryImpact[[#This Row],[Cash Flow Impact]]/ABS(SalesDropCategoryImpact[[#This Row],[Current Cash Flow]]),0)</f>
        <v>-0.60794923680674939</v>
      </c>
    </row>
    <row r="24" spans="1:8" x14ac:dyDescent="0.45">
      <c r="A24" s="38" t="s">
        <v>23</v>
      </c>
      <c r="B24" s="35">
        <f>SUMIFS(Q1Forecast[Forecast Revenue],Q1Forecast[Category],SalesDropCategoryImpact[[#This Row],[Category]])</f>
        <v>592111.70000000007</v>
      </c>
      <c r="C24" s="35">
        <f>SUMIFS(Q1Forecast[Total Expenses],Q1Forecast[Category],SalesDropCategoryImpact[[#This Row],[Category]])</f>
        <v>794132.58000000007</v>
      </c>
      <c r="D24" s="35">
        <f>SalesDropCategoryImpact[[#This Row],[Current Sales]]-SalesDropCategoryImpact[[#This Row],[Current Expenses]]</f>
        <v>-202020.88</v>
      </c>
      <c r="E24" s="35">
        <f>SalesDropCategoryImpact[[#This Row],[Current Sales]]*(1+$B$5)</f>
        <v>532900.53</v>
      </c>
      <c r="F24" s="35">
        <f>SalesDropCategoryImpact[[#This Row],[10% Drop Sales]]-SalesDropCategoryImpact[[#This Row],[Current Expenses]]</f>
        <v>-261232.05000000005</v>
      </c>
      <c r="G24" s="36">
        <f>SalesDropCategoryImpact[[#This Row],[10% Drop Cash Flow]]-SalesDropCategoryImpact[[#This Row],[Current Cash Flow]]</f>
        <v>-59211.170000000042</v>
      </c>
      <c r="H24" s="30">
        <f>IFERROR(SalesDropCategoryImpact[[#This Row],[Cash Flow Impact]]/ABS(SalesDropCategoryImpact[[#This Row],[Current Cash Flow]]),0)</f>
        <v>-0.29309430787550295</v>
      </c>
    </row>
    <row r="25" spans="1:8" x14ac:dyDescent="0.45">
      <c r="A25" s="38" t="s">
        <v>24</v>
      </c>
      <c r="B25" s="35">
        <f>SUMIFS(Q1Forecast[Forecast Revenue],Q1Forecast[Category],SalesDropCategoryImpact[[#This Row],[Category]])</f>
        <v>625288.89999999991</v>
      </c>
      <c r="C25" s="35">
        <f>SUMIFS(Q1Forecast[Total Expenses],Q1Forecast[Category],SalesDropCategoryImpact[[#This Row],[Category]])</f>
        <v>791499.3600000001</v>
      </c>
      <c r="D25" s="35">
        <f>SalesDropCategoryImpact[[#This Row],[Current Sales]]-SalesDropCategoryImpact[[#This Row],[Current Expenses]]</f>
        <v>-166210.4600000002</v>
      </c>
      <c r="E25" s="35">
        <f>SalesDropCategoryImpact[[#This Row],[Current Sales]]*(1+$B$5)</f>
        <v>562760.00999999989</v>
      </c>
      <c r="F25" s="35">
        <f>SalesDropCategoryImpact[[#This Row],[10% Drop Sales]]-SalesDropCategoryImpact[[#This Row],[Current Expenses]]</f>
        <v>-228739.35000000021</v>
      </c>
      <c r="G25" s="36">
        <f>SalesDropCategoryImpact[[#This Row],[10% Drop Cash Flow]]-SalesDropCategoryImpact[[#This Row],[Current Cash Flow]]</f>
        <v>-62528.890000000014</v>
      </c>
      <c r="H25" s="30">
        <f>IFERROR(SalesDropCategoryImpact[[#This Row],[Cash Flow Impact]]/ABS(SalesDropCategoryImpact[[#This Row],[Current Cash Flow]]),0)</f>
        <v>-0.37620309816843017</v>
      </c>
    </row>
    <row r="26" spans="1:8" x14ac:dyDescent="0.45">
      <c r="A26" s="38"/>
      <c r="B26" s="29"/>
      <c r="C26" s="29"/>
      <c r="D26" s="29"/>
      <c r="E26" s="29"/>
      <c r="F26" s="29"/>
      <c r="G26" s="29"/>
      <c r="H26" s="29"/>
    </row>
    <row r="27" spans="1:8" x14ac:dyDescent="0.45">
      <c r="A27" s="38"/>
      <c r="B27" s="29"/>
      <c r="C27" s="29"/>
      <c r="D27" s="29"/>
      <c r="E27" s="29"/>
      <c r="F27" s="29"/>
      <c r="G27" s="29"/>
      <c r="H27" s="29"/>
    </row>
    <row r="28" spans="1:8" x14ac:dyDescent="0.45">
      <c r="A28" s="28" t="s">
        <v>109</v>
      </c>
      <c r="B28" s="28"/>
      <c r="C28" s="28"/>
      <c r="D28" s="28"/>
      <c r="E28" s="28"/>
      <c r="F28" s="28"/>
      <c r="G28" s="28"/>
      <c r="H28" s="28"/>
    </row>
    <row r="29" spans="1:8" ht="30" customHeight="1" x14ac:dyDescent="0.45">
      <c r="A29" s="27" t="str">
        <f>"A 10% sales drop reduces forecast revenue by "&amp;TEXT(ABS(E9),"$#,##0")&amp;" and lowers the operating cash-flow proxy from "&amp;TEXT(A9,"$#,##0")&amp;" to "&amp;TEXT(C9,"$#,##0")&amp;". The incremental cash-flow hit is "&amp;TEXT(E9,"$#,##0")&amp;", with the largest regional pressure visible in the region table above."</f>
        <v>A 10% sales drop reduces forecast revenue by $309,698 and lowers the operating cash-flow proxy from -$707,993 to -$1,017,691. The incremental cash-flow hit is -$309,698, with the largest regional pressure visible in the region table above.</v>
      </c>
      <c r="B29" s="27"/>
      <c r="C29" s="27"/>
      <c r="D29" s="27"/>
      <c r="E29" s="27"/>
      <c r="F29" s="27"/>
      <c r="G29" s="27"/>
      <c r="H29" s="27"/>
    </row>
    <row r="30" spans="1:8" ht="30" customHeight="1" x14ac:dyDescent="0.45">
      <c r="A30" s="27"/>
      <c r="B30" s="27"/>
      <c r="C30" s="27"/>
      <c r="D30" s="27"/>
      <c r="E30" s="27"/>
      <c r="F30" s="27"/>
      <c r="G30" s="27"/>
      <c r="H30" s="27"/>
    </row>
    <row r="31" spans="1:8" ht="30" customHeight="1" x14ac:dyDescent="0.45">
      <c r="A31" s="27"/>
      <c r="B31" s="27"/>
      <c r="C31" s="27"/>
      <c r="D31" s="27"/>
      <c r="E31" s="27"/>
      <c r="F31" s="27"/>
      <c r="G31" s="27"/>
      <c r="H31" s="27"/>
    </row>
  </sheetData>
  <mergeCells count="16">
    <mergeCell ref="A28:H28"/>
    <mergeCell ref="A29:H31"/>
    <mergeCell ref="A9:B10"/>
    <mergeCell ref="C9:D10"/>
    <mergeCell ref="E9:F10"/>
    <mergeCell ref="G9:H10"/>
    <mergeCell ref="A12:H12"/>
    <mergeCell ref="A19:H19"/>
    <mergeCell ref="A1:H1"/>
    <mergeCell ref="A2:H2"/>
    <mergeCell ref="A4:H4"/>
    <mergeCell ref="B6:H6"/>
    <mergeCell ref="A8:B8"/>
    <mergeCell ref="C8:D8"/>
    <mergeCell ref="E8:F8"/>
    <mergeCell ref="G8:H8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918B0A43C351C40B713CC74392E76A4" ma:contentTypeVersion="12" ma:contentTypeDescription="สร้างเอกสารใหม่" ma:contentTypeScope="" ma:versionID="0919946d8c60b6b8ee73202dcdf9b280">
  <xsd:schema xmlns:xsd="http://www.w3.org/2001/XMLSchema" xmlns:xs="http://www.w3.org/2001/XMLSchema" xmlns:p="http://schemas.microsoft.com/office/2006/metadata/properties" xmlns:ns2="f8c52cc2-3351-47ac-8a56-e925e5af6112" xmlns:ns3="065ec080-69f5-47b1-9966-9bf0b665b16f" targetNamespace="http://schemas.microsoft.com/office/2006/metadata/properties" ma:root="true" ma:fieldsID="9d61fedb131a5afa0f0cf1a9a2a979d0" ns2:_="" ns3:_="">
    <xsd:import namespace="f8c52cc2-3351-47ac-8a56-e925e5af6112"/>
    <xsd:import namespace="065ec080-69f5-47b1-9966-9bf0b665b1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52cc2-3351-47ac-8a56-e925e5af61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แท็กรูป" ma:readOnly="false" ma:fieldId="{5cf76f15-5ced-4ddc-b409-7134ff3c332f}" ma:taxonomyMulti="true" ma:sspId="3a14d61c-d782-40a4-aef1-936f79929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ec080-69f5-47b1-9966-9bf0b665b1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b484b36-1ca5-4ec8-9b8c-fbc0406d0d5d}" ma:internalName="TaxCatchAll" ma:showField="CatchAllData" ma:web="065ec080-69f5-47b1-9966-9bf0b665b1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5ec080-69f5-47b1-9966-9bf0b665b16f" xsi:nil="true"/>
    <lcf76f155ced4ddcb4097134ff3c332f xmlns="f8c52cc2-3351-47ac-8a56-e925e5af611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28B1FE-073B-41C1-A4FB-F368FE409A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c52cc2-3351-47ac-8a56-e925e5af6112"/>
    <ds:schemaRef ds:uri="065ec080-69f5-47b1-9966-9bf0b665b1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A4AD61-F6C7-4DE0-A6B6-A94A88E5CA4E}">
  <ds:schemaRefs>
    <ds:schemaRef ds:uri="http://schemas.microsoft.com/office/2006/metadata/properties"/>
    <ds:schemaRef ds:uri="http://schemas.microsoft.com/office/infopath/2007/PartnerControls"/>
    <ds:schemaRef ds:uri="065ec080-69f5-47b1-9966-9bf0b665b16f"/>
    <ds:schemaRef ds:uri="f8c52cc2-3351-47ac-8a56-e925e5af6112"/>
  </ds:schemaRefs>
</ds:datastoreItem>
</file>

<file path=customXml/itemProps3.xml><?xml version="1.0" encoding="utf-8"?>
<ds:datastoreItem xmlns:ds="http://schemas.openxmlformats.org/officeDocument/2006/customXml" ds:itemID="{593A8DC7-2286-4030-B9D7-99BA1041146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Dashboard</vt:lpstr>
      <vt:lpstr>Q1_Forecast</vt:lpstr>
      <vt:lpstr>Q4_Forecast</vt:lpstr>
      <vt:lpstr>What_If_Scenarios</vt:lpstr>
      <vt:lpstr>Cash_Flow_Impact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Worawit Steanputtanagul</cp:lastModifiedBy>
  <dcterms:created xsi:type="dcterms:W3CDTF">2025-11-20T18:48:41Z</dcterms:created>
  <dcterms:modified xsi:type="dcterms:W3CDTF">2026-08-19T18:04:54Z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0x010100A918B0A43C351C40B713CC74392E76A4</vt:lpwstr>
  </property>
  <property fmtid="{D5CDD505-2E9C-101B-9397-08002B2CF9AE}" pid="3" name="MediaServiceImageTags">
    <vt:lpwstr/>
  </property>
</Properties>
</file>